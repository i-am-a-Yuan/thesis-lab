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D63D0C2E-D617-45F2-80CE-44AD4CE0111A}" xr6:coauthVersionLast="47" xr6:coauthVersionMax="47" xr10:uidLastSave="{00000000-0000-0000-0000-000000000000}"/>
  <bookViews>
    <workbookView xWindow="0" yWindow="360" windowWidth="25820" windowHeight="13900" firstSheet="3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3f-Sheet5" sheetId="5" r:id="rId5"/>
    <sheet name="Sheet6" sheetId="6" r:id="rId6"/>
    <sheet name="Sheet7" sheetId="7" r:id="rId7"/>
    <sheet name="3f-K5-Sheet7 (2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  <c r="B6" i="6"/>
  <c r="C4" i="6"/>
  <c r="D3" i="5"/>
  <c r="B5" i="5"/>
  <c r="D5" i="5"/>
  <c r="E5" i="5"/>
  <c r="I6" i="5"/>
</calcChain>
</file>

<file path=xl/sharedStrings.xml><?xml version="1.0" encoding="utf-8"?>
<sst xmlns="http://schemas.openxmlformats.org/spreadsheetml/2006/main" count="1028" uniqueCount="324">
  <si>
    <t>Queen</t>
  </si>
  <si>
    <t>K3</t>
  </si>
  <si>
    <t>K5</t>
  </si>
  <si>
    <t>K7</t>
  </si>
  <si>
    <t>const</t>
  </si>
  <si>
    <t>5.0510***
(1.3799)</t>
  </si>
  <si>
    <t>4.9769***
(1.3536)</t>
  </si>
  <si>
    <t>5.2495***
(1.3918)</t>
  </si>
  <si>
    <t>5.1561***
(1.4407)</t>
  </si>
  <si>
    <t>road1</t>
  </si>
  <si>
    <t>-0.9037
(0.6480)</t>
  </si>
  <si>
    <t>-1.1415*
(0.6186)</t>
  </si>
  <si>
    <t>-0.7433
(0.6468)</t>
  </si>
  <si>
    <t>-0.9494
(0.6562)</t>
  </si>
  <si>
    <t>ln_road2</t>
  </si>
  <si>
    <t>0.1838*
(0.1071)</t>
  </si>
  <si>
    <t>0.1845*
(0.1055)</t>
  </si>
  <si>
    <t>0.2125**
(0.1062)</t>
  </si>
  <si>
    <t>0.1872*
(0.1061)</t>
  </si>
  <si>
    <t>ln_gdp</t>
  </si>
  <si>
    <t>-0.2084*
(0.1112)</t>
  </si>
  <si>
    <t>-0.1812*
(0.1102)</t>
  </si>
  <si>
    <t>-0.1808
(0.1112)</t>
  </si>
  <si>
    <t>-0.1436
(0.1109)</t>
  </si>
  <si>
    <t>ln_price</t>
  </si>
  <si>
    <t>-0.2899**
(0.1359)</t>
  </si>
  <si>
    <t>-0.2885**
(0.1342)</t>
  </si>
  <si>
    <t>-0.3219**
(0.1358)</t>
  </si>
  <si>
    <t>-0.2968**
(0.1410)</t>
  </si>
  <si>
    <t>ln_poi</t>
  </si>
  <si>
    <t>0.0835
(0.1193)</t>
  </si>
  <si>
    <t>0.0946
(0.1162)</t>
  </si>
  <si>
    <t>0.0723
(0.1178)</t>
  </si>
  <si>
    <t>0.0601
(0.1187)</t>
  </si>
  <si>
    <t>build</t>
  </si>
  <si>
    <t>-3.2544***
(0.5316)</t>
  </si>
  <si>
    <t>-3.3157***
(0.5004)</t>
  </si>
  <si>
    <t>-3.4226***
(0.5130)</t>
  </si>
  <si>
    <t>-3.5570***
(0.5221)</t>
  </si>
  <si>
    <t>lambda</t>
  </si>
  <si>
    <t>0.5187***
(0.0835)</t>
  </si>
  <si>
    <t>0.3718***
(0.0792)</t>
  </si>
  <si>
    <t>0.5365***
(0.0819)</t>
  </si>
  <si>
    <t>0.5664***
(0.0895)</t>
  </si>
  <si>
    <t>Residual Moran's I</t>
  </si>
  <si>
    <t>0.2232
[0.0000]</t>
    <phoneticPr fontId="1" type="noConversion"/>
  </si>
  <si>
    <t>0.2435
[0.0000]</t>
    <phoneticPr fontId="1" type="noConversion"/>
  </si>
  <si>
    <t>0.2458
[0.0000]</t>
    <phoneticPr fontId="1" type="noConversion"/>
  </si>
  <si>
    <t>0.2044
[0.0000]</t>
    <phoneticPr fontId="1" type="noConversion"/>
  </si>
  <si>
    <t>R2</t>
  </si>
  <si>
    <t>0.7463</t>
  </si>
  <si>
    <t>0.7478</t>
  </si>
  <si>
    <t>0.7455</t>
  </si>
  <si>
    <t>0.7464</t>
  </si>
  <si>
    <t>Log Likelihood</t>
  </si>
  <si>
    <t>-196.8691</t>
  </si>
  <si>
    <t>-200.0251</t>
  </si>
  <si>
    <t>-196.2132</t>
  </si>
  <si>
    <t>-197.8608</t>
  </si>
  <si>
    <t>Akaike Info Criterion</t>
  </si>
  <si>
    <t>407.7381</t>
  </si>
  <si>
    <t>414.0502</t>
  </si>
  <si>
    <t>406.4264</t>
  </si>
  <si>
    <t>409.7215</t>
  </si>
  <si>
    <t>Schwarz Criterion</t>
  </si>
  <si>
    <t>430.7560</t>
  </si>
  <si>
    <t>437.0680</t>
  </si>
  <si>
    <t>429.4443</t>
  </si>
  <si>
    <t>432.7394</t>
  </si>
  <si>
    <t>Wald</t>
  </si>
  <si>
    <t>38.6186</t>
  </si>
  <si>
    <t>22.0416</t>
  </si>
  <si>
    <t>42.8923</t>
  </si>
  <si>
    <t>40.0228</t>
  </si>
  <si>
    <t>Likelihood Ratio (LR)</t>
  </si>
  <si>
    <t>23.6883</t>
  </si>
  <si>
    <t>17.3763</t>
  </si>
  <si>
    <t>25.0000</t>
  </si>
  <si>
    <t>21.7049</t>
  </si>
  <si>
    <t>Lagrange Multiplier (LM)</t>
  </si>
  <si>
    <t>22.8201</t>
  </si>
  <si>
    <t>17.3563</t>
  </si>
  <si>
    <t>24.9353</t>
  </si>
  <si>
    <t>23.2620</t>
  </si>
  <si>
    <t>4.9899***
(1.3800)</t>
  </si>
  <si>
    <t>5.0103***
(1.3538)</t>
  </si>
  <si>
    <t>5.1986***
(1.3894)</t>
  </si>
  <si>
    <t>5.1224***
(1.4393)</t>
  </si>
  <si>
    <t>-0.9507
(0.6256)</t>
  </si>
  <si>
    <t>-1.1736*
(0.6041)</t>
  </si>
  <si>
    <t>-0.7558
(0.6247)</t>
  </si>
  <si>
    <t>-0.9566
(0.6329)</t>
  </si>
  <si>
    <t>0.1596**
(0.0779)</t>
  </si>
  <si>
    <t>0.1741**
(0.0779)</t>
  </si>
  <si>
    <t>0.1891**
(0.0775)</t>
  </si>
  <si>
    <t>0.1709**
(0.0773)</t>
  </si>
  <si>
    <t>-0.3117**
(0.1360)</t>
  </si>
  <si>
    <t>-0.3082**
(0.1338)</t>
  </si>
  <si>
    <t>-0.3393**
(0.1358)</t>
  </si>
  <si>
    <t>-0.3097**
(0.1409)</t>
  </si>
  <si>
    <t>-3.5052***
(0.4934)</t>
  </si>
  <si>
    <t>-3.5428***
(0.4632)</t>
  </si>
  <si>
    <t>-3.6638***
(0.4706)</t>
  </si>
  <si>
    <t>-3.7681***
(0.4777)</t>
  </si>
  <si>
    <t>0.5057***
(0.0847)</t>
  </si>
  <si>
    <t>0.3708***
(0.0792)</t>
  </si>
  <si>
    <t>0.5302***
(0.0826)</t>
  </si>
  <si>
    <t>0.5717***
(0.0889)</t>
  </si>
  <si>
    <t>0.2195
[0.0000]</t>
  </si>
  <si>
    <t>0.2459
[0.0000]</t>
  </si>
  <si>
    <t>0.2473
[0.0000]</t>
  </si>
  <si>
    <t>0.2110
[0.0000]</t>
  </si>
  <si>
    <t>0.7432</t>
  </si>
  <si>
    <t>0.7439</t>
  </si>
  <si>
    <t>0.7421</t>
  </si>
  <si>
    <t>0.7429</t>
  </si>
  <si>
    <t>-198.6106</t>
  </si>
  <si>
    <t>-201.4303</t>
  </si>
  <si>
    <t>-197.5302</t>
  </si>
  <si>
    <t>-198.6985</t>
  </si>
  <si>
    <t>407.2211</t>
  </si>
  <si>
    <t>412.8606</t>
  </si>
  <si>
    <t>405.0604</t>
  </si>
  <si>
    <t>407.3971</t>
  </si>
  <si>
    <t>423.6625</t>
  </si>
  <si>
    <t>429.3020</t>
  </si>
  <si>
    <t>421.5017</t>
  </si>
  <si>
    <t>423.8384</t>
  </si>
  <si>
    <t>35.6433</t>
  </si>
  <si>
    <t>21.8964</t>
  </si>
  <si>
    <t>41.2446</t>
  </si>
  <si>
    <t>41.3962</t>
  </si>
  <si>
    <t>23.4286</t>
  </si>
  <si>
    <t>17.7891</t>
  </si>
  <si>
    <t>25.5893</t>
  </si>
  <si>
    <t>23.2526</t>
  </si>
  <si>
    <t>23.8358</t>
  </si>
  <si>
    <t>18.2439</t>
  </si>
  <si>
    <t>27.0061</t>
  </si>
  <si>
    <t>26.5332</t>
  </si>
  <si>
    <t>SEM1</t>
    <phoneticPr fontId="1" type="noConversion"/>
  </si>
  <si>
    <t>SEM2</t>
    <phoneticPr fontId="1" type="noConversion"/>
  </si>
  <si>
    <r>
      <rPr>
        <sz val="10"/>
        <color theme="1"/>
        <rFont val="DengXian"/>
        <family val="1"/>
        <charset val="134"/>
      </rPr>
      <t xml:space="preserve">残差
</t>
    </r>
    <r>
      <rPr>
        <sz val="10"/>
        <color theme="1"/>
        <rFont val="Times New Roman"/>
        <family val="1"/>
      </rPr>
      <t>Moran's I</t>
    </r>
    <phoneticPr fontId="1" type="noConversion"/>
  </si>
  <si>
    <t>统计量</t>
    <phoneticPr fontId="1" type="noConversion"/>
  </si>
  <si>
    <t>K2</t>
  </si>
  <si>
    <t>K4</t>
  </si>
  <si>
    <t>K6</t>
  </si>
  <si>
    <t>K8</t>
  </si>
  <si>
    <t>0.219
[0.000]</t>
  </si>
  <si>
    <t>0.259
[0.000]</t>
  </si>
  <si>
    <t>0.246
[0.000]</t>
  </si>
  <si>
    <t>0.241
[0.000]</t>
  </si>
  <si>
    <t>0.247
[0.000]</t>
  </si>
  <si>
    <t>0.234
[0.000]</t>
  </si>
  <si>
    <t>0.211
[0.000]</t>
  </si>
  <si>
    <t>0.167
[0.000]</t>
  </si>
  <si>
    <t>0.743</t>
  </si>
  <si>
    <t>0.744</t>
  </si>
  <si>
    <t>0.742</t>
  </si>
  <si>
    <t>-198.611</t>
  </si>
  <si>
    <t>-203.008</t>
  </si>
  <si>
    <t>-201.430</t>
  </si>
  <si>
    <t>-198.959</t>
  </si>
  <si>
    <t>-197.530</t>
  </si>
  <si>
    <t>-197.698</t>
  </si>
  <si>
    <t>-198.699</t>
  </si>
  <si>
    <t>-202.216</t>
  </si>
  <si>
    <t>407.221</t>
  </si>
  <si>
    <t>416.016</t>
  </si>
  <si>
    <t>412.861</t>
  </si>
  <si>
    <t>407.917</t>
  </si>
  <si>
    <t>405.060</t>
  </si>
  <si>
    <t>405.395</t>
  </si>
  <si>
    <t>407.397</t>
  </si>
  <si>
    <t>414.431</t>
  </si>
  <si>
    <t>423.662</t>
  </si>
  <si>
    <t>432.458</t>
  </si>
  <si>
    <t>429.302</t>
  </si>
  <si>
    <t>424.359</t>
  </si>
  <si>
    <t>421.502</t>
  </si>
  <si>
    <t>421.837</t>
  </si>
  <si>
    <t>423.838</t>
  </si>
  <si>
    <t>430.873</t>
  </si>
  <si>
    <t>5.051***
(1.380)</t>
  </si>
  <si>
    <t>4.921***
(1.343)</t>
  </si>
  <si>
    <t>4.977***
(1.354)</t>
  </si>
  <si>
    <t>5.094***
(1.372)</t>
  </si>
  <si>
    <t>5.249***
(1.392)</t>
  </si>
  <si>
    <t>5.300***
(1.430)</t>
  </si>
  <si>
    <t>5.156***
(1.441)</t>
  </si>
  <si>
    <t>4.793***
(1.439)</t>
  </si>
  <si>
    <t>-0.904
(0.648)</t>
  </si>
  <si>
    <t>-1.516**
(0.593)</t>
  </si>
  <si>
    <t>-0.985
(0.632)</t>
  </si>
  <si>
    <t>-0.743
(0.647)</t>
  </si>
  <si>
    <t>-0.826
(0.652)</t>
  </si>
  <si>
    <t>-0.949
(0.656)</t>
  </si>
  <si>
    <t>-0.848
(0.656)</t>
  </si>
  <si>
    <t>0.184*
(0.107)</t>
  </si>
  <si>
    <t>0.150
(0.104)</t>
  </si>
  <si>
    <t>0.184*
(0.105)</t>
  </si>
  <si>
    <t>0.208*
(0.106)</t>
  </si>
  <si>
    <t>0.212**
(0.106)</t>
  </si>
  <si>
    <t>0.211**
(0.106)</t>
  </si>
  <si>
    <t>0.187*
(0.106)</t>
  </si>
  <si>
    <t>0.180*
(0.107)</t>
  </si>
  <si>
    <t>-0.155
(0.108)</t>
  </si>
  <si>
    <t>-0.181
(0.111)</t>
  </si>
  <si>
    <t>-0.171
(0.113)</t>
  </si>
  <si>
    <t>-0.144
(0.111)</t>
  </si>
  <si>
    <t>-0.160
(0.112)</t>
  </si>
  <si>
    <t>-0.290**
(0.136)</t>
  </si>
  <si>
    <t>-0.283**
(0.134)</t>
  </si>
  <si>
    <t>-0.289**
(0.134)</t>
  </si>
  <si>
    <t>-0.300**
(0.134)</t>
  </si>
  <si>
    <t>-0.322**
(0.136)</t>
  </si>
  <si>
    <t>-0.312**
(0.139)</t>
  </si>
  <si>
    <t>-0.297**
(0.141)</t>
  </si>
  <si>
    <t>0.083
(0.119)</t>
  </si>
  <si>
    <t>0.103
(0.114)</t>
  </si>
  <si>
    <t>0.095
(0.116)</t>
  </si>
  <si>
    <t>0.080
(0.118)</t>
  </si>
  <si>
    <t>0.072
(0.118)</t>
  </si>
  <si>
    <t>0.051
(0.119)</t>
  </si>
  <si>
    <t>0.060
(0.119)</t>
  </si>
  <si>
    <t>0.092
(0.120)</t>
  </si>
  <si>
    <t>-3.254***
(0.532)</t>
  </si>
  <si>
    <t>-3.167***
(0.487)</t>
  </si>
  <si>
    <t>-3.316***
(0.500)</t>
  </si>
  <si>
    <t>-3.320***
(0.512)</t>
  </si>
  <si>
    <t>-3.423***
(0.513)</t>
  </si>
  <si>
    <t>-3.467***
(0.520)</t>
  </si>
  <si>
    <t>-3.557***
(0.522)</t>
  </si>
  <si>
    <t>-3.581***
(0.531)</t>
  </si>
  <si>
    <t>0.519***
(0.083)</t>
  </si>
  <si>
    <t>0.275***
(0.072)</t>
  </si>
  <si>
    <t>0.372***
(0.079)</t>
  </si>
  <si>
    <t>0.481***
(0.081)</t>
  </si>
  <si>
    <t>0.536***
(0.082)</t>
  </si>
  <si>
    <t>0.557***
(0.085)</t>
  </si>
  <si>
    <t>0.566***
(0.090)</t>
  </si>
  <si>
    <t>0.526***
(0.100)</t>
  </si>
  <si>
    <t>0.223
[0.000]</t>
  </si>
  <si>
    <t>0.251
[0.000]</t>
  </si>
  <si>
    <t>0.244
[0.000]</t>
  </si>
  <si>
    <t>0.242
[0.000]</t>
  </si>
  <si>
    <t>0.232
[0.000]</t>
  </si>
  <si>
    <t>0.204
[0.000]</t>
  </si>
  <si>
    <t>0.161
[0.000]</t>
  </si>
  <si>
    <t>4.990***
(1.380)</t>
  </si>
  <si>
    <t>5.042***
(1.339)</t>
  </si>
  <si>
    <t>5.010***
(1.354)</t>
  </si>
  <si>
    <t>5.032***
(1.370)</t>
  </si>
  <si>
    <t>5.199***
(1.389)</t>
  </si>
  <si>
    <t>5.213***
(1.426)</t>
  </si>
  <si>
    <t>5.122***
(1.439)</t>
  </si>
  <si>
    <t>4.814***
(1.439)</t>
  </si>
  <si>
    <t>-0.951
(0.626)</t>
  </si>
  <si>
    <t>-1.568***
(0.585)</t>
  </si>
  <si>
    <t>-1.174*
(0.604)</t>
  </si>
  <si>
    <t>-0.996
(0.614)</t>
  </si>
  <si>
    <t>-0.756
(0.625)</t>
  </si>
  <si>
    <t>-0.807
(0.629)</t>
  </si>
  <si>
    <t>-0.957
(0.633)</t>
  </si>
  <si>
    <t>-0.886
(0.633)</t>
  </si>
  <si>
    <t>0.160**
(0.078)</t>
  </si>
  <si>
    <t>0.154**
(0.078)</t>
  </si>
  <si>
    <t>0.174**
(0.078)</t>
  </si>
  <si>
    <t>0.183**
(0.078)</t>
  </si>
  <si>
    <t>0.189**
(0.077)</t>
  </si>
  <si>
    <t>0.177**
(0.077)</t>
  </si>
  <si>
    <t>0.171**
(0.077)</t>
  </si>
  <si>
    <t>0.176**
(0.079)</t>
  </si>
  <si>
    <t>-0.312**
(0.136)</t>
  </si>
  <si>
    <t>-0.303**
(0.133)</t>
  </si>
  <si>
    <t>-0.308**
(0.134)</t>
  </si>
  <si>
    <t>-0.317**
(0.134)</t>
  </si>
  <si>
    <t>-0.339**
(0.136)</t>
  </si>
  <si>
    <t>-0.328**
(0.139)</t>
  </si>
  <si>
    <t>-0.310**
(0.141)</t>
  </si>
  <si>
    <t>-0.285**
(0.142)</t>
  </si>
  <si>
    <t>-3.505***
(0.493)</t>
  </si>
  <si>
    <t>-3.333***
(0.455)</t>
  </si>
  <si>
    <t>-3.543***
(0.463)</t>
  </si>
  <si>
    <t>-3.590***
(0.471)</t>
  </si>
  <si>
    <t>-3.664***
(0.471)</t>
  </si>
  <si>
    <t>-3.734***
(0.477)</t>
  </si>
  <si>
    <t>-3.768***
(0.478)</t>
  </si>
  <si>
    <t>-3.785***
(0.488)</t>
  </si>
  <si>
    <t>0.506***
(0.085)</t>
  </si>
  <si>
    <t>0.283***
(0.072)</t>
  </si>
  <si>
    <t>0.371***
(0.079)</t>
  </si>
  <si>
    <t>0.474***
(0.082)</t>
  </si>
  <si>
    <t>0.530***
(0.083)</t>
  </si>
  <si>
    <t>0.554***
(0.085)</t>
  </si>
  <si>
    <t>0.572***
(0.089)</t>
  </si>
  <si>
    <t>0.532***
(0.099)</t>
  </si>
  <si>
    <t>35.643</t>
  </si>
  <si>
    <t>15.406</t>
  </si>
  <si>
    <t>21.896</t>
  </si>
  <si>
    <t>33.737</t>
  </si>
  <si>
    <t>41.245</t>
  </si>
  <si>
    <t>42.004</t>
  </si>
  <si>
    <t>41.396</t>
  </si>
  <si>
    <t>28.798</t>
  </si>
  <si>
    <t>23.429</t>
  </si>
  <si>
    <t>14.633</t>
  </si>
  <si>
    <t>17.789</t>
  </si>
  <si>
    <t>22.732</t>
  </si>
  <si>
    <t>25.589</t>
  </si>
  <si>
    <t>25.254</t>
  </si>
  <si>
    <t>23.253</t>
  </si>
  <si>
    <t>16.218</t>
  </si>
  <si>
    <t>23.836</t>
  </si>
  <si>
    <t>15.144</t>
  </si>
  <si>
    <t>18.244</t>
  </si>
  <si>
    <t>22.544</t>
  </si>
  <si>
    <t>27.006</t>
  </si>
  <si>
    <t>28.341</t>
  </si>
  <si>
    <t>26.533</t>
  </si>
  <si>
    <t>17.682</t>
  </si>
  <si>
    <t>-0.208*
(0.111)</t>
    <phoneticPr fontId="1" type="noConversion"/>
  </si>
  <si>
    <t>-0.181*
(0.11)</t>
    <phoneticPr fontId="1" type="noConversion"/>
  </si>
  <si>
    <t>-1.142*
(0.619)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</si>
</sst>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  <font>
      <sz val="10"/>
      <color theme="1"/>
      <name val="Times New Roman"/>
      <family val="1"/>
    </font>
    <font>
      <sz val="10"/>
      <color theme="1"/>
      <name val="DengXian"/>
      <family val="1"/>
      <charset val="134"/>
    </font>
    <font>
      <sz val="10"/>
      <color theme="1"/>
      <name val="Times New Roman"/>
      <family val="1"/>
      <charset val="134"/>
    </font>
    <font>
      <sz val="10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/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G1" sqref="A1:XFD1048576"/>
    </sheetView>
  </sheetViews>
  <sheetFormatPr defaultRowHeight="14"/>
  <cols>
    <col min="1" max="5" width="12.58203125" customWidth="1"/>
  </cols>
  <sheetData>
    <row r="1" spans="1:11">
      <c r="A1" s="1"/>
      <c r="B1" s="2" t="s">
        <v>0</v>
      </c>
      <c r="C1" s="2" t="s">
        <v>1</v>
      </c>
      <c r="D1" s="2" t="s">
        <v>2</v>
      </c>
      <c r="E1" s="2" t="s">
        <v>3</v>
      </c>
      <c r="G1" s="1"/>
      <c r="H1" s="2" t="s">
        <v>0</v>
      </c>
      <c r="I1" s="2" t="s">
        <v>1</v>
      </c>
      <c r="J1" s="2" t="s">
        <v>2</v>
      </c>
      <c r="K1" s="2" t="s">
        <v>3</v>
      </c>
    </row>
    <row r="2" spans="1:11" ht="28">
      <c r="A2" s="2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 s="2" t="s">
        <v>4</v>
      </c>
      <c r="H2" s="1" t="s">
        <v>84</v>
      </c>
      <c r="I2" s="1" t="s">
        <v>85</v>
      </c>
      <c r="J2" s="1" t="s">
        <v>86</v>
      </c>
      <c r="K2" s="1" t="s">
        <v>87</v>
      </c>
    </row>
    <row r="3" spans="1:11" ht="28">
      <c r="A3" s="2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G3" s="2" t="s">
        <v>9</v>
      </c>
      <c r="H3" s="1" t="s">
        <v>88</v>
      </c>
      <c r="I3" s="1" t="s">
        <v>89</v>
      </c>
      <c r="J3" s="1" t="s">
        <v>90</v>
      </c>
      <c r="K3" s="1" t="s">
        <v>91</v>
      </c>
    </row>
    <row r="4" spans="1:11" ht="28">
      <c r="A4" s="2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G4" s="2" t="s">
        <v>14</v>
      </c>
      <c r="H4" s="1" t="s">
        <v>92</v>
      </c>
      <c r="I4" s="1" t="s">
        <v>93</v>
      </c>
      <c r="J4" s="1" t="s">
        <v>94</v>
      </c>
      <c r="K4" s="1" t="s">
        <v>95</v>
      </c>
    </row>
    <row r="5" spans="1:11" ht="28">
      <c r="A5" s="2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G5" s="2" t="s">
        <v>24</v>
      </c>
      <c r="H5" s="1" t="s">
        <v>96</v>
      </c>
      <c r="I5" s="1" t="s">
        <v>97</v>
      </c>
      <c r="J5" s="1" t="s">
        <v>98</v>
      </c>
      <c r="K5" s="1" t="s">
        <v>99</v>
      </c>
    </row>
    <row r="6" spans="1:11" ht="42">
      <c r="A6" s="2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G6" s="2" t="s">
        <v>34</v>
      </c>
      <c r="H6" s="1" t="s">
        <v>100</v>
      </c>
      <c r="I6" s="1" t="s">
        <v>101</v>
      </c>
      <c r="J6" s="1" t="s">
        <v>102</v>
      </c>
      <c r="K6" s="1" t="s">
        <v>103</v>
      </c>
    </row>
    <row r="7" spans="1:11" ht="28">
      <c r="A7" s="2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G7" s="2" t="s">
        <v>39</v>
      </c>
      <c r="H7" s="1" t="s">
        <v>104</v>
      </c>
      <c r="I7" s="1" t="s">
        <v>105</v>
      </c>
      <c r="J7" s="1" t="s">
        <v>106</v>
      </c>
      <c r="K7" s="1" t="s">
        <v>107</v>
      </c>
    </row>
    <row r="8" spans="1:11" ht="42">
      <c r="A8" s="2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G8" s="2" t="s">
        <v>44</v>
      </c>
      <c r="H8" s="1" t="s">
        <v>108</v>
      </c>
      <c r="I8" s="1" t="s">
        <v>109</v>
      </c>
      <c r="J8" s="1" t="s">
        <v>110</v>
      </c>
      <c r="K8" s="1" t="s">
        <v>111</v>
      </c>
    </row>
    <row r="9" spans="1:11" ht="28">
      <c r="A9" s="2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G9" s="2" t="s">
        <v>49</v>
      </c>
      <c r="H9" s="1" t="s">
        <v>112</v>
      </c>
      <c r="I9" s="1" t="s">
        <v>113</v>
      </c>
      <c r="J9" s="1" t="s">
        <v>114</v>
      </c>
      <c r="K9" s="1" t="s">
        <v>115</v>
      </c>
    </row>
    <row r="10" spans="1:11" ht="42">
      <c r="A10" s="2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G10" s="2" t="s">
        <v>54</v>
      </c>
      <c r="H10" s="1" t="s">
        <v>116</v>
      </c>
      <c r="I10" s="1" t="s">
        <v>117</v>
      </c>
      <c r="J10" s="1" t="s">
        <v>118</v>
      </c>
      <c r="K10" s="1" t="s">
        <v>119</v>
      </c>
    </row>
    <row r="11" spans="1:11" ht="56">
      <c r="A11" s="2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G11" s="2" t="s">
        <v>59</v>
      </c>
      <c r="H11" s="1" t="s">
        <v>120</v>
      </c>
      <c r="I11" s="1" t="s">
        <v>121</v>
      </c>
      <c r="J11" s="1" t="s">
        <v>122</v>
      </c>
      <c r="K11" s="1" t="s">
        <v>123</v>
      </c>
    </row>
    <row r="12" spans="1:11" ht="42">
      <c r="A12" s="2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G12" s="2" t="s">
        <v>64</v>
      </c>
      <c r="H12" s="1" t="s">
        <v>124</v>
      </c>
      <c r="I12" s="1" t="s">
        <v>125</v>
      </c>
      <c r="J12" s="1" t="s">
        <v>126</v>
      </c>
      <c r="K12" s="1" t="s">
        <v>127</v>
      </c>
    </row>
    <row r="13" spans="1:11" ht="28">
      <c r="A13" s="2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G13" s="2" t="s">
        <v>69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42">
      <c r="A14" s="2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G14" s="2" t="s">
        <v>74</v>
      </c>
      <c r="H14" s="1" t="s">
        <v>132</v>
      </c>
      <c r="I14" s="1" t="s">
        <v>133</v>
      </c>
      <c r="J14" s="1" t="s">
        <v>134</v>
      </c>
      <c r="K14" s="1" t="s">
        <v>135</v>
      </c>
    </row>
    <row r="15" spans="1:11" ht="42">
      <c r="A15" s="2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G15" s="2" t="s">
        <v>79</v>
      </c>
      <c r="H15" s="1" t="s">
        <v>136</v>
      </c>
      <c r="I15" s="1" t="s">
        <v>137</v>
      </c>
      <c r="J15" s="1" t="s">
        <v>138</v>
      </c>
      <c r="K15" s="1" t="s">
        <v>139</v>
      </c>
    </row>
    <row r="16" spans="1:11" ht="28">
      <c r="A16" s="2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 spans="1:5" ht="42">
      <c r="A17" s="2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50DF-9C02-4E44-A8AD-0D1FD81321C2}">
  <dimension ref="A1:J18"/>
  <sheetViews>
    <sheetView workbookViewId="0">
      <selection activeCell="F6" sqref="A1:J18"/>
    </sheetView>
  </sheetViews>
  <sheetFormatPr defaultRowHeight="14"/>
  <cols>
    <col min="1" max="1" width="11.9140625" customWidth="1"/>
    <col min="2" max="10" width="10.4140625" customWidth="1"/>
  </cols>
  <sheetData>
    <row r="1" spans="1:10">
      <c r="B1" t="s">
        <v>140</v>
      </c>
      <c r="G1" t="s">
        <v>141</v>
      </c>
    </row>
    <row r="2" spans="1:10">
      <c r="A2" s="1"/>
      <c r="B2" s="2" t="s">
        <v>0</v>
      </c>
      <c r="C2" s="2" t="s">
        <v>1</v>
      </c>
      <c r="D2" s="2" t="s">
        <v>2</v>
      </c>
      <c r="E2" s="2" t="s">
        <v>3</v>
      </c>
      <c r="G2" s="2" t="s">
        <v>0</v>
      </c>
      <c r="H2" s="2" t="s">
        <v>1</v>
      </c>
      <c r="I2" s="2" t="s">
        <v>2</v>
      </c>
      <c r="J2" s="2" t="s">
        <v>3</v>
      </c>
    </row>
    <row r="3" spans="1:10" ht="28">
      <c r="A3" s="2" t="s">
        <v>4</v>
      </c>
      <c r="B3" s="1" t="s">
        <v>5</v>
      </c>
      <c r="C3" s="1" t="s">
        <v>6</v>
      </c>
      <c r="D3" s="1" t="s">
        <v>7</v>
      </c>
      <c r="E3" s="1" t="s">
        <v>8</v>
      </c>
      <c r="G3" s="1" t="s">
        <v>84</v>
      </c>
      <c r="H3" s="1" t="s">
        <v>85</v>
      </c>
      <c r="I3" s="1" t="s">
        <v>86</v>
      </c>
      <c r="J3" s="1" t="s">
        <v>87</v>
      </c>
    </row>
    <row r="4" spans="1:10" ht="28">
      <c r="A4" s="2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G4" s="1" t="s">
        <v>88</v>
      </c>
      <c r="H4" s="1" t="s">
        <v>89</v>
      </c>
      <c r="I4" s="1" t="s">
        <v>90</v>
      </c>
      <c r="J4" s="1" t="s">
        <v>91</v>
      </c>
    </row>
    <row r="5" spans="1:10" ht="28">
      <c r="A5" s="2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G5" s="1" t="s">
        <v>92</v>
      </c>
      <c r="H5" s="1" t="s">
        <v>93</v>
      </c>
      <c r="I5" s="1" t="s">
        <v>94</v>
      </c>
      <c r="J5" s="1" t="s">
        <v>95</v>
      </c>
    </row>
    <row r="6" spans="1:10" ht="28">
      <c r="A6" s="2" t="s">
        <v>19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10" ht="28">
      <c r="A7" s="2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G7" s="1" t="s">
        <v>96</v>
      </c>
      <c r="H7" s="1" t="s">
        <v>97</v>
      </c>
      <c r="I7" s="1" t="s">
        <v>98</v>
      </c>
      <c r="J7" s="1" t="s">
        <v>99</v>
      </c>
    </row>
    <row r="8" spans="1:10" ht="28">
      <c r="A8" s="2" t="s">
        <v>29</v>
      </c>
      <c r="B8" s="1" t="s">
        <v>30</v>
      </c>
      <c r="C8" s="1" t="s">
        <v>31</v>
      </c>
      <c r="D8" s="1" t="s">
        <v>32</v>
      </c>
      <c r="E8" s="1" t="s">
        <v>33</v>
      </c>
    </row>
    <row r="9" spans="1:10" ht="28">
      <c r="A9" s="2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G9" s="1" t="s">
        <v>100</v>
      </c>
      <c r="H9" s="1" t="s">
        <v>101</v>
      </c>
      <c r="I9" s="1" t="s">
        <v>102</v>
      </c>
      <c r="J9" s="1" t="s">
        <v>103</v>
      </c>
    </row>
    <row r="10" spans="1:10" ht="28">
      <c r="A10" s="2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G10" s="1" t="s">
        <v>104</v>
      </c>
      <c r="H10" s="1" t="s">
        <v>105</v>
      </c>
      <c r="I10" s="1" t="s">
        <v>106</v>
      </c>
      <c r="J10" s="1" t="s">
        <v>107</v>
      </c>
    </row>
    <row r="11" spans="1:10" ht="28">
      <c r="A11" s="2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G11" s="1" t="s">
        <v>108</v>
      </c>
      <c r="H11" s="1" t="s">
        <v>109</v>
      </c>
      <c r="I11" s="1" t="s">
        <v>110</v>
      </c>
      <c r="J11" s="1" t="s">
        <v>111</v>
      </c>
    </row>
    <row r="12" spans="1:10">
      <c r="A12" s="2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G12" s="1" t="s">
        <v>112</v>
      </c>
      <c r="H12" s="1" t="s">
        <v>113</v>
      </c>
      <c r="I12" s="1" t="s">
        <v>114</v>
      </c>
      <c r="J12" s="1" t="s">
        <v>115</v>
      </c>
    </row>
    <row r="13" spans="1:10" ht="28">
      <c r="A13" s="2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G13" s="1" t="s">
        <v>116</v>
      </c>
      <c r="H13" s="1" t="s">
        <v>117</v>
      </c>
      <c r="I13" s="1" t="s">
        <v>118</v>
      </c>
      <c r="J13" s="1" t="s">
        <v>119</v>
      </c>
    </row>
    <row r="14" spans="1:10" ht="28">
      <c r="A14" s="2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G14" s="1" t="s">
        <v>120</v>
      </c>
      <c r="H14" s="1" t="s">
        <v>121</v>
      </c>
      <c r="I14" s="1" t="s">
        <v>122</v>
      </c>
      <c r="J14" s="1" t="s">
        <v>123</v>
      </c>
    </row>
    <row r="15" spans="1:10" ht="28">
      <c r="A15" s="2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G15" s="1" t="s">
        <v>124</v>
      </c>
      <c r="H15" s="1" t="s">
        <v>125</v>
      </c>
      <c r="I15" s="1" t="s">
        <v>126</v>
      </c>
      <c r="J15" s="1" t="s">
        <v>127</v>
      </c>
    </row>
    <row r="16" spans="1:10">
      <c r="A16" s="2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G16" s="1" t="s">
        <v>128</v>
      </c>
      <c r="H16" s="1" t="s">
        <v>129</v>
      </c>
      <c r="I16" s="1" t="s">
        <v>130</v>
      </c>
      <c r="J16" s="1" t="s">
        <v>131</v>
      </c>
    </row>
    <row r="17" spans="1:10" ht="28">
      <c r="A17" s="2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G17" s="1" t="s">
        <v>132</v>
      </c>
      <c r="H17" s="1" t="s">
        <v>133</v>
      </c>
      <c r="I17" s="1" t="s">
        <v>134</v>
      </c>
      <c r="J17" s="1" t="s">
        <v>135</v>
      </c>
    </row>
    <row r="18" spans="1:10" ht="42">
      <c r="A18" s="2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G18" s="1" t="s">
        <v>136</v>
      </c>
      <c r="H18" s="1" t="s">
        <v>137</v>
      </c>
      <c r="I18" s="1" t="s">
        <v>138</v>
      </c>
      <c r="J18" s="1" t="s">
        <v>139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23C9-2385-438B-8CA2-16FC07798311}">
  <dimension ref="A1:J20"/>
  <sheetViews>
    <sheetView workbookViewId="0">
      <selection activeCell="F7" sqref="F7"/>
    </sheetView>
  </sheetViews>
  <sheetFormatPr defaultRowHeight="14"/>
  <cols>
    <col min="1" max="1" width="12.6640625" customWidth="1"/>
    <col min="2" max="5" width="9.9140625" customWidth="1"/>
    <col min="6" max="6" width="1.5" customWidth="1"/>
    <col min="7" max="10" width="9.9140625" customWidth="1"/>
  </cols>
  <sheetData>
    <row r="1" spans="1:10">
      <c r="B1" t="s">
        <v>140</v>
      </c>
      <c r="G1" t="s">
        <v>141</v>
      </c>
    </row>
    <row r="2" spans="1:10">
      <c r="A2" s="1"/>
      <c r="B2" s="2" t="s">
        <v>0</v>
      </c>
      <c r="C2" s="2" t="s">
        <v>1</v>
      </c>
      <c r="D2" s="2" t="s">
        <v>2</v>
      </c>
      <c r="E2" s="2" t="s">
        <v>3</v>
      </c>
      <c r="G2" s="2" t="s">
        <v>0</v>
      </c>
      <c r="H2" s="2" t="s">
        <v>1</v>
      </c>
      <c r="I2" s="2" t="s">
        <v>2</v>
      </c>
      <c r="J2" s="2" t="s">
        <v>3</v>
      </c>
    </row>
    <row r="3" spans="1:10" ht="28">
      <c r="A3" s="2" t="s">
        <v>4</v>
      </c>
      <c r="B3" s="1" t="s">
        <v>5</v>
      </c>
      <c r="C3" s="1" t="s">
        <v>6</v>
      </c>
      <c r="D3" s="1" t="s">
        <v>7</v>
      </c>
      <c r="E3" s="1" t="s">
        <v>8</v>
      </c>
      <c r="G3" s="1" t="s">
        <v>84</v>
      </c>
      <c r="H3" s="1" t="s">
        <v>85</v>
      </c>
      <c r="I3" s="1" t="s">
        <v>86</v>
      </c>
      <c r="J3" s="1" t="s">
        <v>87</v>
      </c>
    </row>
    <row r="4" spans="1:10" ht="28">
      <c r="A4" s="2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G4" s="1" t="s">
        <v>88</v>
      </c>
      <c r="H4" s="1" t="s">
        <v>89</v>
      </c>
      <c r="I4" s="1" t="s">
        <v>90</v>
      </c>
      <c r="J4" s="1" t="s">
        <v>91</v>
      </c>
    </row>
    <row r="5" spans="1:10" ht="28">
      <c r="A5" s="2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G5" s="1" t="s">
        <v>92</v>
      </c>
      <c r="H5" s="1" t="s">
        <v>93</v>
      </c>
      <c r="I5" s="1" t="s">
        <v>94</v>
      </c>
      <c r="J5" s="1" t="s">
        <v>95</v>
      </c>
    </row>
    <row r="6" spans="1:10" ht="28">
      <c r="A6" s="2" t="s">
        <v>19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10" ht="28">
      <c r="A7" s="2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G7" s="1" t="s">
        <v>96</v>
      </c>
      <c r="H7" s="1" t="s">
        <v>97</v>
      </c>
      <c r="I7" s="1" t="s">
        <v>98</v>
      </c>
      <c r="J7" s="1" t="s">
        <v>99</v>
      </c>
    </row>
    <row r="8" spans="1:10" ht="28">
      <c r="A8" s="2" t="s">
        <v>29</v>
      </c>
      <c r="B8" s="1" t="s">
        <v>30</v>
      </c>
      <c r="C8" s="1" t="s">
        <v>31</v>
      </c>
      <c r="D8" s="1" t="s">
        <v>32</v>
      </c>
      <c r="E8" s="1" t="s">
        <v>33</v>
      </c>
    </row>
    <row r="9" spans="1:10" ht="28">
      <c r="A9" s="2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G9" s="1" t="s">
        <v>100</v>
      </c>
      <c r="H9" s="1" t="s">
        <v>101</v>
      </c>
      <c r="I9" s="1" t="s">
        <v>102</v>
      </c>
      <c r="J9" s="1" t="s">
        <v>103</v>
      </c>
    </row>
    <row r="10" spans="1:10" ht="28">
      <c r="A10" s="2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G10" s="1" t="s">
        <v>104</v>
      </c>
      <c r="H10" s="1" t="s">
        <v>105</v>
      </c>
      <c r="I10" s="1" t="s">
        <v>106</v>
      </c>
      <c r="J10" s="1" t="s">
        <v>107</v>
      </c>
    </row>
    <row r="11" spans="1:10" ht="28">
      <c r="A11" s="2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G11" s="1" t="s">
        <v>108</v>
      </c>
      <c r="H11" s="1" t="s">
        <v>109</v>
      </c>
      <c r="I11" s="1" t="s">
        <v>110</v>
      </c>
      <c r="J11" s="1" t="s">
        <v>111</v>
      </c>
    </row>
    <row r="12" spans="1:10">
      <c r="A12" s="2" t="s">
        <v>49</v>
      </c>
      <c r="B12" s="3">
        <v>0.74629999999999996</v>
      </c>
      <c r="C12" s="3">
        <v>0.74780000000000002</v>
      </c>
      <c r="D12" s="3">
        <v>0.74550000000000005</v>
      </c>
      <c r="E12" s="3">
        <v>0.74639999999999995</v>
      </c>
      <c r="F12" s="4"/>
      <c r="G12" s="3">
        <v>0.74319999999999997</v>
      </c>
      <c r="H12" s="3">
        <v>0.74390000000000001</v>
      </c>
      <c r="I12" s="3">
        <v>0.74209999999999998</v>
      </c>
      <c r="J12" s="3">
        <v>0.7429</v>
      </c>
    </row>
    <row r="13" spans="1:10" ht="28">
      <c r="A13" s="2" t="s">
        <v>54</v>
      </c>
      <c r="B13" s="3">
        <v>-196.8691</v>
      </c>
      <c r="C13" s="3">
        <v>-200.02510000000001</v>
      </c>
      <c r="D13" s="3">
        <v>-196.2132</v>
      </c>
      <c r="E13" s="3">
        <v>-197.86080000000001</v>
      </c>
      <c r="F13" s="4"/>
      <c r="G13" s="3">
        <v>-198.61060000000001</v>
      </c>
      <c r="H13" s="3">
        <v>-201.43029999999999</v>
      </c>
      <c r="I13" s="3">
        <v>-197.53020000000001</v>
      </c>
      <c r="J13" s="3">
        <v>-198.6985</v>
      </c>
    </row>
    <row r="14" spans="1:10">
      <c r="A14" s="2"/>
      <c r="B14" s="1"/>
      <c r="C14" s="1"/>
      <c r="D14" s="1"/>
      <c r="E14" s="1"/>
      <c r="G14" s="1"/>
      <c r="H14" s="1"/>
      <c r="I14" s="1"/>
      <c r="J14" s="1"/>
    </row>
    <row r="15" spans="1:10">
      <c r="A15" s="2"/>
      <c r="B15" s="1"/>
      <c r="C15" s="1"/>
      <c r="D15" s="1"/>
      <c r="E15" s="1"/>
      <c r="G15" s="1"/>
      <c r="H15" s="1"/>
      <c r="I15" s="1"/>
      <c r="J15" s="1"/>
    </row>
    <row r="16" spans="1:10" ht="28">
      <c r="A16" s="2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G16" s="1" t="s">
        <v>120</v>
      </c>
      <c r="H16" s="1" t="s">
        <v>121</v>
      </c>
      <c r="I16" s="1" t="s">
        <v>122</v>
      </c>
      <c r="J16" s="1" t="s">
        <v>123</v>
      </c>
    </row>
    <row r="17" spans="1:10" ht="28">
      <c r="A17" s="2" t="s">
        <v>64</v>
      </c>
      <c r="B17" s="1" t="s">
        <v>65</v>
      </c>
      <c r="C17" s="1" t="s">
        <v>66</v>
      </c>
      <c r="D17" s="1" t="s">
        <v>67</v>
      </c>
      <c r="E17" s="1" t="s">
        <v>68</v>
      </c>
      <c r="G17" s="1" t="s">
        <v>124</v>
      </c>
      <c r="H17" s="1" t="s">
        <v>125</v>
      </c>
      <c r="I17" s="1" t="s">
        <v>126</v>
      </c>
      <c r="J17" s="1" t="s">
        <v>127</v>
      </c>
    </row>
    <row r="18" spans="1:10">
      <c r="A18" s="2" t="s">
        <v>69</v>
      </c>
      <c r="B18" s="1" t="s">
        <v>70</v>
      </c>
      <c r="C18" s="1" t="s">
        <v>71</v>
      </c>
      <c r="D18" s="1" t="s">
        <v>72</v>
      </c>
      <c r="E18" s="1" t="s">
        <v>73</v>
      </c>
      <c r="G18" s="1" t="s">
        <v>128</v>
      </c>
      <c r="H18" s="1" t="s">
        <v>129</v>
      </c>
      <c r="I18" s="1" t="s">
        <v>130</v>
      </c>
      <c r="J18" s="1" t="s">
        <v>131</v>
      </c>
    </row>
    <row r="19" spans="1:10" ht="28">
      <c r="A19" s="2" t="s">
        <v>74</v>
      </c>
      <c r="B19" s="1" t="s">
        <v>75</v>
      </c>
      <c r="C19" s="1" t="s">
        <v>76</v>
      </c>
      <c r="D19" s="1" t="s">
        <v>77</v>
      </c>
      <c r="E19" s="1" t="s">
        <v>78</v>
      </c>
      <c r="G19" s="1" t="s">
        <v>132</v>
      </c>
      <c r="H19" s="1" t="s">
        <v>133</v>
      </c>
      <c r="I19" s="1" t="s">
        <v>134</v>
      </c>
      <c r="J19" s="1" t="s">
        <v>135</v>
      </c>
    </row>
    <row r="20" spans="1:10" ht="42">
      <c r="A20" s="2" t="s">
        <v>79</v>
      </c>
      <c r="B20" s="1" t="s">
        <v>80</v>
      </c>
      <c r="C20" s="1" t="s">
        <v>81</v>
      </c>
      <c r="D20" s="1" t="s">
        <v>82</v>
      </c>
      <c r="E20" s="1" t="s">
        <v>83</v>
      </c>
      <c r="G20" s="1" t="s">
        <v>136</v>
      </c>
      <c r="H20" s="1" t="s">
        <v>137</v>
      </c>
      <c r="I20" s="1" t="s">
        <v>138</v>
      </c>
      <c r="J20" s="1" t="s">
        <v>139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65FC-3C2B-474A-AB08-1E66D8D68447}">
  <dimension ref="A1:V13"/>
  <sheetViews>
    <sheetView tabSelected="1" zoomScale="115" zoomScaleNormal="115" workbookViewId="0">
      <selection activeCell="B12" sqref="B12"/>
    </sheetView>
  </sheetViews>
  <sheetFormatPr defaultRowHeight="14"/>
  <cols>
    <col min="1" max="1" width="8.5" customWidth="1"/>
    <col min="2" max="5" width="8.6640625" bestFit="1" customWidth="1"/>
    <col min="6" max="6" width="1.5" customWidth="1"/>
    <col min="7" max="10" width="8.6640625" bestFit="1" customWidth="1"/>
    <col min="18" max="18" width="2.75" customWidth="1"/>
  </cols>
  <sheetData>
    <row r="1" spans="1:22">
      <c r="A1" s="12" t="s">
        <v>143</v>
      </c>
      <c r="B1" s="14" t="s">
        <v>140</v>
      </c>
      <c r="C1" s="14"/>
      <c r="D1" s="14"/>
      <c r="E1" s="14"/>
      <c r="F1" s="5"/>
      <c r="G1" s="14" t="s">
        <v>141</v>
      </c>
      <c r="H1" s="14"/>
      <c r="I1" s="14"/>
      <c r="J1" s="14"/>
      <c r="M1" s="15"/>
      <c r="N1" s="14"/>
      <c r="O1" s="14"/>
      <c r="P1" s="14"/>
      <c r="Q1" s="14"/>
      <c r="R1" s="5"/>
      <c r="S1" s="14"/>
      <c r="T1" s="14"/>
      <c r="U1" s="14"/>
      <c r="V1" s="14"/>
    </row>
    <row r="2" spans="1:22" ht="14.5" thickBot="1">
      <c r="A2" s="16"/>
      <c r="B2" s="6" t="s">
        <v>0</v>
      </c>
      <c r="C2" s="6" t="s">
        <v>1</v>
      </c>
      <c r="D2" s="6" t="s">
        <v>2</v>
      </c>
      <c r="E2" s="6" t="s">
        <v>3</v>
      </c>
      <c r="F2" s="6"/>
      <c r="G2" s="6" t="s">
        <v>0</v>
      </c>
      <c r="H2" s="6" t="s">
        <v>1</v>
      </c>
      <c r="I2" s="6" t="s">
        <v>2</v>
      </c>
      <c r="J2" s="6" t="s">
        <v>3</v>
      </c>
      <c r="M2" s="13"/>
      <c r="N2" s="6"/>
      <c r="O2" s="6"/>
      <c r="P2" s="6"/>
      <c r="Q2" s="6"/>
      <c r="R2" s="6"/>
      <c r="S2" s="6"/>
      <c r="T2" s="6"/>
      <c r="U2" s="6"/>
      <c r="V2" s="6"/>
    </row>
    <row r="3" spans="1:22" ht="26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/>
      <c r="G3" s="7" t="s">
        <v>84</v>
      </c>
      <c r="H3" s="7" t="s">
        <v>85</v>
      </c>
      <c r="I3" s="7" t="s">
        <v>86</v>
      </c>
      <c r="J3" s="7" t="s">
        <v>87</v>
      </c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26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/>
      <c r="G4" s="7" t="s">
        <v>88</v>
      </c>
      <c r="H4" s="7" t="s">
        <v>89</v>
      </c>
      <c r="I4" s="7" t="s">
        <v>90</v>
      </c>
      <c r="J4" s="7" t="s">
        <v>91</v>
      </c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2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/>
      <c r="G5" s="7" t="s">
        <v>92</v>
      </c>
      <c r="H5" s="7" t="s">
        <v>93</v>
      </c>
      <c r="I5" s="7" t="s">
        <v>94</v>
      </c>
      <c r="J5" s="7" t="s">
        <v>95</v>
      </c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26">
      <c r="A6" s="7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/>
      <c r="G6" s="7"/>
      <c r="H6" s="7"/>
      <c r="I6" s="7"/>
      <c r="J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26">
      <c r="A7" s="7" t="s">
        <v>24</v>
      </c>
      <c r="B7" s="7" t="s">
        <v>25</v>
      </c>
      <c r="C7" s="7" t="s">
        <v>26</v>
      </c>
      <c r="D7" s="7" t="s">
        <v>27</v>
      </c>
      <c r="E7" s="7" t="s">
        <v>28</v>
      </c>
      <c r="F7" s="7"/>
      <c r="G7" s="7" t="s">
        <v>96</v>
      </c>
      <c r="H7" s="7" t="s">
        <v>97</v>
      </c>
      <c r="I7" s="7" t="s">
        <v>98</v>
      </c>
      <c r="J7" s="7" t="s">
        <v>99</v>
      </c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26">
      <c r="A8" s="7" t="s">
        <v>29</v>
      </c>
      <c r="B8" s="7" t="s">
        <v>30</v>
      </c>
      <c r="C8" s="7" t="s">
        <v>31</v>
      </c>
      <c r="D8" s="7" t="s">
        <v>32</v>
      </c>
      <c r="E8" s="7" t="s">
        <v>33</v>
      </c>
      <c r="F8" s="7"/>
      <c r="G8" s="7"/>
      <c r="H8" s="7"/>
      <c r="I8" s="7"/>
      <c r="J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26">
      <c r="A9" s="7" t="s">
        <v>34</v>
      </c>
      <c r="B9" s="7" t="s">
        <v>35</v>
      </c>
      <c r="C9" s="7" t="s">
        <v>36</v>
      </c>
      <c r="D9" s="7" t="s">
        <v>37</v>
      </c>
      <c r="E9" s="7" t="s">
        <v>38</v>
      </c>
      <c r="F9" s="7"/>
      <c r="G9" s="7" t="s">
        <v>100</v>
      </c>
      <c r="H9" s="7" t="s">
        <v>101</v>
      </c>
      <c r="I9" s="7" t="s">
        <v>102</v>
      </c>
      <c r="J9" s="7" t="s">
        <v>103</v>
      </c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26">
      <c r="A10" s="7" t="s">
        <v>39</v>
      </c>
      <c r="B10" s="7" t="s">
        <v>40</v>
      </c>
      <c r="C10" s="7" t="s">
        <v>41</v>
      </c>
      <c r="D10" s="7" t="s">
        <v>42</v>
      </c>
      <c r="E10" s="7" t="s">
        <v>43</v>
      </c>
      <c r="F10" s="7"/>
      <c r="G10" s="7" t="s">
        <v>104</v>
      </c>
      <c r="H10" s="7" t="s">
        <v>105</v>
      </c>
      <c r="I10" s="7" t="s">
        <v>106</v>
      </c>
      <c r="J10" s="7" t="s">
        <v>107</v>
      </c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26">
      <c r="A11" s="8" t="s">
        <v>142</v>
      </c>
      <c r="B11" s="7" t="s">
        <v>45</v>
      </c>
      <c r="C11" s="7" t="s">
        <v>46</v>
      </c>
      <c r="D11" s="7" t="s">
        <v>47</v>
      </c>
      <c r="E11" s="7" t="s">
        <v>48</v>
      </c>
      <c r="F11" s="7"/>
      <c r="G11" s="7" t="s">
        <v>108</v>
      </c>
      <c r="H11" s="7" t="s">
        <v>109</v>
      </c>
      <c r="I11" s="7" t="s">
        <v>110</v>
      </c>
      <c r="J11" s="7" t="s">
        <v>111</v>
      </c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7" t="s">
        <v>49</v>
      </c>
      <c r="B12" s="7">
        <v>0.74629999999999996</v>
      </c>
      <c r="C12" s="7">
        <v>0.74780000000000002</v>
      </c>
      <c r="D12" s="7">
        <v>0.74550000000000005</v>
      </c>
      <c r="E12" s="7">
        <v>0.74639999999999995</v>
      </c>
      <c r="F12" s="7"/>
      <c r="G12" s="7">
        <v>0.74319999999999997</v>
      </c>
      <c r="H12" s="7">
        <v>0.74390000000000001</v>
      </c>
      <c r="I12" s="7">
        <v>0.74209999999999998</v>
      </c>
      <c r="J12" s="7">
        <v>0.7429</v>
      </c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26.5" thickBot="1">
      <c r="A13" s="6" t="s">
        <v>54</v>
      </c>
      <c r="B13" s="6">
        <v>-196.8691</v>
      </c>
      <c r="C13" s="6">
        <v>-200.02510000000001</v>
      </c>
      <c r="D13" s="6">
        <v>-196.2132</v>
      </c>
      <c r="E13" s="6">
        <v>-197.86080000000001</v>
      </c>
      <c r="F13" s="6"/>
      <c r="G13" s="6">
        <v>-198.61060000000001</v>
      </c>
      <c r="H13" s="6">
        <v>-201.43029999999999</v>
      </c>
      <c r="I13" s="6">
        <v>-197.53020000000001</v>
      </c>
      <c r="J13" s="6">
        <v>-198.6985</v>
      </c>
      <c r="M13" s="6"/>
      <c r="N13" s="6"/>
      <c r="O13" s="6"/>
      <c r="P13" s="6"/>
      <c r="Q13" s="6"/>
      <c r="R13" s="6"/>
      <c r="S13" s="6"/>
      <c r="T13" s="6"/>
      <c r="U13" s="6"/>
      <c r="V13" s="6"/>
    </row>
  </sheetData>
  <mergeCells count="6">
    <mergeCell ref="M1:M2"/>
    <mergeCell ref="N1:Q1"/>
    <mergeCell ref="S1:V1"/>
    <mergeCell ref="A1:A2"/>
    <mergeCell ref="B1:E1"/>
    <mergeCell ref="G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794A-7028-4089-A9B4-8ED6FEF5B55F}">
  <dimension ref="A1:S17"/>
  <sheetViews>
    <sheetView workbookViewId="0">
      <selection activeCell="J7" sqref="A1:S17"/>
    </sheetView>
  </sheetViews>
  <sheetFormatPr defaultRowHeight="14"/>
  <sheetData>
    <row r="1" spans="1:19">
      <c r="B1" t="s">
        <v>0</v>
      </c>
      <c r="C1" t="s">
        <v>144</v>
      </c>
      <c r="D1" t="s">
        <v>1</v>
      </c>
      <c r="E1" t="s">
        <v>145</v>
      </c>
      <c r="F1" t="s">
        <v>2</v>
      </c>
      <c r="G1" t="s">
        <v>146</v>
      </c>
      <c r="H1" t="s">
        <v>3</v>
      </c>
      <c r="I1" t="s">
        <v>147</v>
      </c>
      <c r="L1" t="s">
        <v>0</v>
      </c>
      <c r="M1" t="s">
        <v>144</v>
      </c>
      <c r="N1" t="s">
        <v>1</v>
      </c>
      <c r="O1" t="s">
        <v>145</v>
      </c>
      <c r="P1" t="s">
        <v>2</v>
      </c>
      <c r="Q1" t="s">
        <v>146</v>
      </c>
      <c r="R1" t="s">
        <v>3</v>
      </c>
      <c r="S1" t="s">
        <v>147</v>
      </c>
    </row>
    <row r="2" spans="1:19" ht="28">
      <c r="A2" t="s">
        <v>4</v>
      </c>
      <c r="B2" s="9" t="s">
        <v>183</v>
      </c>
      <c r="C2" s="9" t="s">
        <v>184</v>
      </c>
      <c r="D2" s="9" t="s">
        <v>185</v>
      </c>
      <c r="E2" s="9" t="s">
        <v>186</v>
      </c>
      <c r="F2" s="9" t="s">
        <v>187</v>
      </c>
      <c r="G2" s="9" t="s">
        <v>188</v>
      </c>
      <c r="H2" s="9" t="s">
        <v>189</v>
      </c>
      <c r="I2" s="9" t="s">
        <v>190</v>
      </c>
      <c r="K2" t="s">
        <v>4</v>
      </c>
      <c r="L2" t="s">
        <v>249</v>
      </c>
      <c r="M2" t="s">
        <v>250</v>
      </c>
      <c r="N2" t="s">
        <v>251</v>
      </c>
      <c r="O2" t="s">
        <v>252</v>
      </c>
      <c r="P2" t="s">
        <v>253</v>
      </c>
      <c r="Q2" t="s">
        <v>254</v>
      </c>
      <c r="R2" t="s">
        <v>255</v>
      </c>
      <c r="S2" t="s">
        <v>256</v>
      </c>
    </row>
    <row r="3" spans="1:19" ht="28">
      <c r="A3" t="s">
        <v>9</v>
      </c>
      <c r="B3" s="9" t="s">
        <v>191</v>
      </c>
      <c r="C3" s="9" t="s">
        <v>192</v>
      </c>
      <c r="D3">
        <f>-1.142*
(0.619)</f>
        <v>-0.70689799999999992</v>
      </c>
      <c r="E3" s="9" t="s">
        <v>193</v>
      </c>
      <c r="F3" s="9" t="s">
        <v>194</v>
      </c>
      <c r="G3" s="9" t="s">
        <v>195</v>
      </c>
      <c r="H3" s="9" t="s">
        <v>196</v>
      </c>
      <c r="I3" s="9" t="s">
        <v>197</v>
      </c>
      <c r="K3" t="s">
        <v>9</v>
      </c>
      <c r="L3" t="s">
        <v>257</v>
      </c>
      <c r="M3" t="s">
        <v>258</v>
      </c>
      <c r="N3" t="s">
        <v>259</v>
      </c>
      <c r="O3" t="s">
        <v>260</v>
      </c>
      <c r="P3" t="s">
        <v>261</v>
      </c>
      <c r="Q3" t="s">
        <v>262</v>
      </c>
      <c r="R3" t="s">
        <v>263</v>
      </c>
      <c r="S3" t="s">
        <v>264</v>
      </c>
    </row>
    <row r="4" spans="1:19" ht="28">
      <c r="A4" t="s">
        <v>14</v>
      </c>
      <c r="B4" s="9" t="s">
        <v>198</v>
      </c>
      <c r="C4" s="9" t="s">
        <v>199</v>
      </c>
      <c r="D4" s="9" t="s">
        <v>200</v>
      </c>
      <c r="E4" s="9" t="s">
        <v>201</v>
      </c>
      <c r="F4" s="9" t="s">
        <v>202</v>
      </c>
      <c r="G4" s="9" t="s">
        <v>203</v>
      </c>
      <c r="H4" s="9" t="s">
        <v>204</v>
      </c>
      <c r="I4" s="9" t="s">
        <v>205</v>
      </c>
      <c r="K4" t="s">
        <v>14</v>
      </c>
      <c r="L4" t="s">
        <v>265</v>
      </c>
      <c r="M4" t="s">
        <v>266</v>
      </c>
      <c r="N4" t="s">
        <v>267</v>
      </c>
      <c r="O4" t="s">
        <v>268</v>
      </c>
      <c r="P4" t="s">
        <v>269</v>
      </c>
      <c r="Q4" t="s">
        <v>270</v>
      </c>
      <c r="R4" t="s">
        <v>271</v>
      </c>
      <c r="S4" t="s">
        <v>272</v>
      </c>
    </row>
    <row r="5" spans="1:19" ht="28">
      <c r="A5" t="s">
        <v>19</v>
      </c>
      <c r="B5">
        <f>-0.208*
(0.111)</f>
        <v>-2.3088000000000001E-2</v>
      </c>
      <c r="C5" s="9" t="s">
        <v>206</v>
      </c>
      <c r="D5">
        <f>-0.181*
(0.11)</f>
        <v>-1.9910000000000001E-2</v>
      </c>
      <c r="E5">
        <f>-0.196*
(0.112)</f>
        <v>-2.1952000000000003E-2</v>
      </c>
      <c r="F5" s="9" t="s">
        <v>207</v>
      </c>
      <c r="G5" s="9" t="s">
        <v>208</v>
      </c>
      <c r="H5" s="9" t="s">
        <v>209</v>
      </c>
      <c r="I5" s="9" t="s">
        <v>210</v>
      </c>
    </row>
    <row r="6" spans="1:19" ht="28">
      <c r="A6" t="s">
        <v>24</v>
      </c>
      <c r="B6" s="9" t="s">
        <v>211</v>
      </c>
      <c r="C6" s="9" t="s">
        <v>212</v>
      </c>
      <c r="D6" s="9" t="s">
        <v>213</v>
      </c>
      <c r="E6" s="9" t="s">
        <v>214</v>
      </c>
      <c r="F6" s="9" t="s">
        <v>215</v>
      </c>
      <c r="G6" s="9" t="s">
        <v>216</v>
      </c>
      <c r="H6" s="9" t="s">
        <v>217</v>
      </c>
      <c r="I6">
        <f>-0.271*
(0.142)</f>
        <v>-3.8482000000000002E-2</v>
      </c>
      <c r="K6" t="s">
        <v>24</v>
      </c>
      <c r="L6" t="s">
        <v>273</v>
      </c>
      <c r="M6" t="s">
        <v>274</v>
      </c>
      <c r="N6" t="s">
        <v>275</v>
      </c>
      <c r="O6" t="s">
        <v>276</v>
      </c>
      <c r="P6" t="s">
        <v>277</v>
      </c>
      <c r="Q6" t="s">
        <v>278</v>
      </c>
      <c r="R6" t="s">
        <v>279</v>
      </c>
      <c r="S6" t="s">
        <v>280</v>
      </c>
    </row>
    <row r="7" spans="1:19" ht="28">
      <c r="A7" t="s">
        <v>29</v>
      </c>
      <c r="B7" s="9" t="s">
        <v>218</v>
      </c>
      <c r="C7" s="9" t="s">
        <v>219</v>
      </c>
      <c r="D7" s="9" t="s">
        <v>220</v>
      </c>
      <c r="E7" s="9" t="s">
        <v>221</v>
      </c>
      <c r="F7" s="9" t="s">
        <v>222</v>
      </c>
      <c r="G7" s="9" t="s">
        <v>223</v>
      </c>
      <c r="H7" s="9" t="s">
        <v>224</v>
      </c>
      <c r="I7" s="9" t="s">
        <v>225</v>
      </c>
    </row>
    <row r="8" spans="1:19" ht="28">
      <c r="A8" t="s">
        <v>34</v>
      </c>
      <c r="B8" s="9" t="s">
        <v>226</v>
      </c>
      <c r="C8" s="9" t="s">
        <v>227</v>
      </c>
      <c r="D8" s="9" t="s">
        <v>228</v>
      </c>
      <c r="E8" s="9" t="s">
        <v>229</v>
      </c>
      <c r="F8" s="9" t="s">
        <v>230</v>
      </c>
      <c r="G8" s="9" t="s">
        <v>231</v>
      </c>
      <c r="H8" s="9" t="s">
        <v>232</v>
      </c>
      <c r="I8" s="9" t="s">
        <v>233</v>
      </c>
      <c r="K8" t="s">
        <v>34</v>
      </c>
      <c r="L8" t="s">
        <v>281</v>
      </c>
      <c r="M8" t="s">
        <v>282</v>
      </c>
      <c r="N8" t="s">
        <v>283</v>
      </c>
      <c r="O8" t="s">
        <v>284</v>
      </c>
      <c r="P8" t="s">
        <v>285</v>
      </c>
      <c r="Q8" t="s">
        <v>286</v>
      </c>
      <c r="R8" t="s">
        <v>287</v>
      </c>
      <c r="S8" t="s">
        <v>288</v>
      </c>
    </row>
    <row r="9" spans="1:19" ht="28">
      <c r="A9" t="s">
        <v>39</v>
      </c>
      <c r="B9" s="9" t="s">
        <v>234</v>
      </c>
      <c r="C9" s="9" t="s">
        <v>235</v>
      </c>
      <c r="D9" s="9" t="s">
        <v>236</v>
      </c>
      <c r="E9" s="9" t="s">
        <v>237</v>
      </c>
      <c r="F9" s="9" t="s">
        <v>238</v>
      </c>
      <c r="G9" s="9" t="s">
        <v>239</v>
      </c>
      <c r="H9" s="9" t="s">
        <v>240</v>
      </c>
      <c r="I9" s="9" t="s">
        <v>241</v>
      </c>
      <c r="K9" t="s">
        <v>39</v>
      </c>
      <c r="L9" t="s">
        <v>289</v>
      </c>
      <c r="M9" t="s">
        <v>290</v>
      </c>
      <c r="N9" t="s">
        <v>291</v>
      </c>
      <c r="O9" t="s">
        <v>292</v>
      </c>
      <c r="P9" t="s">
        <v>293</v>
      </c>
      <c r="Q9" t="s">
        <v>294</v>
      </c>
      <c r="R9" t="s">
        <v>295</v>
      </c>
      <c r="S9" t="s">
        <v>296</v>
      </c>
    </row>
    <row r="10" spans="1:19" ht="28">
      <c r="A10" t="s">
        <v>44</v>
      </c>
      <c r="B10" s="9" t="s">
        <v>242</v>
      </c>
      <c r="C10" s="9" t="s">
        <v>243</v>
      </c>
      <c r="D10" s="9" t="s">
        <v>244</v>
      </c>
      <c r="E10" s="9" t="s">
        <v>245</v>
      </c>
      <c r="F10" s="9" t="s">
        <v>150</v>
      </c>
      <c r="G10" s="9" t="s">
        <v>246</v>
      </c>
      <c r="H10" s="9" t="s">
        <v>247</v>
      </c>
      <c r="I10" s="9" t="s">
        <v>248</v>
      </c>
      <c r="K10" t="s">
        <v>44</v>
      </c>
      <c r="L10" t="s">
        <v>148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  <c r="R10" t="s">
        <v>154</v>
      </c>
      <c r="S10" t="s">
        <v>155</v>
      </c>
    </row>
    <row r="11" spans="1:19">
      <c r="A11" t="s">
        <v>49</v>
      </c>
      <c r="B11">
        <v>0.746</v>
      </c>
      <c r="C11">
        <v>0.748</v>
      </c>
      <c r="D11">
        <v>0.748</v>
      </c>
      <c r="E11">
        <v>0.747</v>
      </c>
      <c r="F11">
        <v>0.745</v>
      </c>
      <c r="G11">
        <v>0.746</v>
      </c>
      <c r="H11">
        <v>0.746</v>
      </c>
      <c r="I11">
        <v>0.746</v>
      </c>
      <c r="K11" t="s">
        <v>49</v>
      </c>
      <c r="L11" t="s">
        <v>156</v>
      </c>
      <c r="M11" t="s">
        <v>157</v>
      </c>
      <c r="N11" t="s">
        <v>157</v>
      </c>
      <c r="O11" t="s">
        <v>156</v>
      </c>
      <c r="P11" t="s">
        <v>158</v>
      </c>
      <c r="Q11" t="s">
        <v>158</v>
      </c>
      <c r="R11" t="s">
        <v>156</v>
      </c>
      <c r="S11" t="s">
        <v>158</v>
      </c>
    </row>
    <row r="12" spans="1:19">
      <c r="A12" t="s">
        <v>54</v>
      </c>
      <c r="B12">
        <v>-196.869</v>
      </c>
      <c r="C12">
        <v>-201.85900000000001</v>
      </c>
      <c r="D12">
        <v>-200.02500000000001</v>
      </c>
      <c r="E12">
        <v>-197.428</v>
      </c>
      <c r="F12">
        <v>-196.21299999999999</v>
      </c>
      <c r="G12">
        <v>-196.54400000000001</v>
      </c>
      <c r="H12">
        <v>-197.86099999999999</v>
      </c>
      <c r="I12">
        <v>-201.15199999999999</v>
      </c>
      <c r="K12" t="s">
        <v>54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165</v>
      </c>
      <c r="S12" t="s">
        <v>166</v>
      </c>
    </row>
    <row r="13" spans="1:19">
      <c r="A13" t="s">
        <v>59</v>
      </c>
      <c r="B13">
        <v>407.738</v>
      </c>
      <c r="C13">
        <v>417.71800000000002</v>
      </c>
      <c r="D13">
        <v>414.05</v>
      </c>
      <c r="E13">
        <v>408.85700000000003</v>
      </c>
      <c r="F13">
        <v>406.42599999999999</v>
      </c>
      <c r="G13">
        <v>407.08800000000002</v>
      </c>
      <c r="H13">
        <v>409.72199999999998</v>
      </c>
      <c r="I13">
        <v>416.303</v>
      </c>
      <c r="K13" t="s">
        <v>59</v>
      </c>
      <c r="L13" t="s">
        <v>167</v>
      </c>
      <c r="M13" t="s">
        <v>168</v>
      </c>
      <c r="N13" t="s">
        <v>169</v>
      </c>
      <c r="O13" t="s">
        <v>170</v>
      </c>
      <c r="P13" t="s">
        <v>171</v>
      </c>
      <c r="Q13" t="s">
        <v>172</v>
      </c>
      <c r="R13" t="s">
        <v>173</v>
      </c>
      <c r="S13" t="s">
        <v>174</v>
      </c>
    </row>
    <row r="14" spans="1:19">
      <c r="A14" t="s">
        <v>64</v>
      </c>
      <c r="B14">
        <v>430.75599999999997</v>
      </c>
      <c r="C14">
        <v>440.73500000000001</v>
      </c>
      <c r="D14">
        <v>437.06799999999998</v>
      </c>
      <c r="E14">
        <v>431.87400000000002</v>
      </c>
      <c r="F14">
        <v>429.44400000000002</v>
      </c>
      <c r="G14">
        <v>430.10599999999999</v>
      </c>
      <c r="H14">
        <v>432.73899999999998</v>
      </c>
      <c r="I14">
        <v>439.32100000000003</v>
      </c>
      <c r="K14" t="s">
        <v>64</v>
      </c>
      <c r="L14" t="s">
        <v>175</v>
      </c>
      <c r="M14" t="s">
        <v>176</v>
      </c>
      <c r="N14" t="s">
        <v>177</v>
      </c>
      <c r="O14" t="s">
        <v>178</v>
      </c>
      <c r="P14" t="s">
        <v>179</v>
      </c>
      <c r="Q14" t="s">
        <v>180</v>
      </c>
      <c r="R14" t="s">
        <v>181</v>
      </c>
      <c r="S14" t="s">
        <v>182</v>
      </c>
    </row>
    <row r="15" spans="1:19">
      <c r="A15" t="s">
        <v>69</v>
      </c>
      <c r="B15">
        <v>38.619</v>
      </c>
      <c r="C15">
        <v>14.493</v>
      </c>
      <c r="D15">
        <v>22.042000000000002</v>
      </c>
      <c r="E15">
        <v>35.348999999999997</v>
      </c>
      <c r="F15">
        <v>42.892000000000003</v>
      </c>
      <c r="G15">
        <v>42.798000000000002</v>
      </c>
      <c r="H15">
        <v>40.023000000000003</v>
      </c>
      <c r="I15">
        <v>27.718</v>
      </c>
      <c r="K15" t="s">
        <v>69</v>
      </c>
      <c r="L15" t="s">
        <v>297</v>
      </c>
      <c r="M15" t="s">
        <v>298</v>
      </c>
      <c r="N15" t="s">
        <v>299</v>
      </c>
      <c r="O15" t="s">
        <v>300</v>
      </c>
      <c r="P15" t="s">
        <v>301</v>
      </c>
      <c r="Q15" t="s">
        <v>302</v>
      </c>
      <c r="R15" t="s">
        <v>303</v>
      </c>
      <c r="S15" t="s">
        <v>304</v>
      </c>
    </row>
    <row r="16" spans="1:19">
      <c r="A16" t="s">
        <v>74</v>
      </c>
      <c r="B16">
        <v>23.687999999999999</v>
      </c>
      <c r="C16">
        <v>13.709</v>
      </c>
      <c r="D16">
        <v>17.376000000000001</v>
      </c>
      <c r="E16">
        <v>22.57</v>
      </c>
      <c r="F16">
        <v>25</v>
      </c>
      <c r="G16">
        <v>24.338999999999999</v>
      </c>
      <c r="H16">
        <v>21.704999999999998</v>
      </c>
      <c r="I16">
        <v>15.122999999999999</v>
      </c>
      <c r="K16" t="s">
        <v>74</v>
      </c>
      <c r="L16" t="s">
        <v>305</v>
      </c>
      <c r="M16" t="s">
        <v>306</v>
      </c>
      <c r="N16" t="s">
        <v>307</v>
      </c>
      <c r="O16" t="s">
        <v>308</v>
      </c>
      <c r="P16" t="s">
        <v>309</v>
      </c>
      <c r="Q16" t="s">
        <v>310</v>
      </c>
      <c r="R16" t="s">
        <v>311</v>
      </c>
      <c r="S16" t="s">
        <v>312</v>
      </c>
    </row>
    <row r="17" spans="1:19">
      <c r="A17" t="s">
        <v>79</v>
      </c>
      <c r="B17">
        <v>22.82</v>
      </c>
      <c r="C17">
        <v>14.108000000000001</v>
      </c>
      <c r="D17">
        <v>17.356000000000002</v>
      </c>
      <c r="E17">
        <v>21.46</v>
      </c>
      <c r="F17">
        <v>24.934999999999999</v>
      </c>
      <c r="G17">
        <v>25.55</v>
      </c>
      <c r="H17">
        <v>23.262</v>
      </c>
      <c r="I17">
        <v>15.609</v>
      </c>
      <c r="K17" t="s">
        <v>79</v>
      </c>
      <c r="L17" t="s">
        <v>313</v>
      </c>
      <c r="M17" t="s">
        <v>314</v>
      </c>
      <c r="N17" t="s">
        <v>315</v>
      </c>
      <c r="O17" t="s">
        <v>316</v>
      </c>
      <c r="P17" t="s">
        <v>317</v>
      </c>
      <c r="Q17" t="s">
        <v>318</v>
      </c>
      <c r="R17" t="s">
        <v>319</v>
      </c>
      <c r="S17" t="s">
        <v>320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9723-7912-4561-AAE6-61153E4D83DD}">
  <dimension ref="A1:J19"/>
  <sheetViews>
    <sheetView workbookViewId="0">
      <selection activeCell="F10" sqref="A1:J13"/>
    </sheetView>
  </sheetViews>
  <sheetFormatPr defaultRowHeight="14"/>
  <cols>
    <col min="1" max="10" width="8.33203125" style="1" customWidth="1"/>
  </cols>
  <sheetData>
    <row r="1" spans="1:10">
      <c r="B1" s="1" t="s">
        <v>140</v>
      </c>
      <c r="G1" s="1" t="s">
        <v>141</v>
      </c>
    </row>
    <row r="2" spans="1:10">
      <c r="B2" s="1" t="s">
        <v>0</v>
      </c>
      <c r="C2" s="1" t="s">
        <v>1</v>
      </c>
      <c r="D2" s="1" t="s">
        <v>2</v>
      </c>
      <c r="E2" s="1" t="s">
        <v>3</v>
      </c>
      <c r="G2" s="1" t="s">
        <v>0</v>
      </c>
      <c r="H2" s="1" t="s">
        <v>1</v>
      </c>
      <c r="I2" s="1" t="s">
        <v>2</v>
      </c>
      <c r="J2" s="1" t="s">
        <v>3</v>
      </c>
    </row>
    <row r="3" spans="1:10" ht="28">
      <c r="A3" s="1" t="s">
        <v>4</v>
      </c>
      <c r="B3" s="1" t="s">
        <v>183</v>
      </c>
      <c r="C3" s="1" t="s">
        <v>185</v>
      </c>
      <c r="D3" s="1" t="s">
        <v>187</v>
      </c>
      <c r="E3" s="1" t="s">
        <v>189</v>
      </c>
      <c r="G3" s="1" t="s">
        <v>249</v>
      </c>
      <c r="H3" s="1" t="s">
        <v>251</v>
      </c>
      <c r="I3" s="1" t="s">
        <v>253</v>
      </c>
      <c r="J3" s="1" t="s">
        <v>255</v>
      </c>
    </row>
    <row r="4" spans="1:10" ht="28">
      <c r="A4" s="1" t="s">
        <v>9</v>
      </c>
      <c r="B4" s="1" t="s">
        <v>191</v>
      </c>
      <c r="C4" s="1">
        <f>-1.142*
(0.619)</f>
        <v>-0.70689799999999992</v>
      </c>
      <c r="D4" s="1" t="s">
        <v>194</v>
      </c>
      <c r="E4" s="1" t="s">
        <v>196</v>
      </c>
      <c r="G4" s="1" t="s">
        <v>257</v>
      </c>
      <c r="H4" s="1" t="s">
        <v>259</v>
      </c>
      <c r="I4" s="1" t="s">
        <v>261</v>
      </c>
      <c r="J4" s="1" t="s">
        <v>263</v>
      </c>
    </row>
    <row r="5" spans="1:10" ht="28">
      <c r="A5" s="1" t="s">
        <v>14</v>
      </c>
      <c r="B5" s="1" t="s">
        <v>198</v>
      </c>
      <c r="C5" s="1" t="s">
        <v>200</v>
      </c>
      <c r="D5" s="1" t="s">
        <v>202</v>
      </c>
      <c r="E5" s="1" t="s">
        <v>204</v>
      </c>
      <c r="G5" s="1" t="s">
        <v>265</v>
      </c>
      <c r="H5" s="1" t="s">
        <v>267</v>
      </c>
      <c r="I5" s="1" t="s">
        <v>269</v>
      </c>
      <c r="J5" s="1" t="s">
        <v>271</v>
      </c>
    </row>
    <row r="6" spans="1:10" ht="28">
      <c r="A6" s="1" t="s">
        <v>19</v>
      </c>
      <c r="B6" s="1">
        <f>-0.208*
(0.111)</f>
        <v>-2.3088000000000001E-2</v>
      </c>
      <c r="C6" s="1">
        <f>-0.181*
(0.11)</f>
        <v>-1.9910000000000001E-2</v>
      </c>
      <c r="D6" s="1" t="s">
        <v>207</v>
      </c>
      <c r="E6" s="1" t="s">
        <v>209</v>
      </c>
    </row>
    <row r="7" spans="1:10" ht="28">
      <c r="A7" s="1" t="s">
        <v>24</v>
      </c>
      <c r="B7" s="1" t="s">
        <v>211</v>
      </c>
      <c r="C7" s="1" t="s">
        <v>213</v>
      </c>
      <c r="D7" s="1" t="s">
        <v>215</v>
      </c>
      <c r="E7" s="1" t="s">
        <v>217</v>
      </c>
      <c r="G7" s="1" t="s">
        <v>273</v>
      </c>
      <c r="H7" s="1" t="s">
        <v>275</v>
      </c>
      <c r="I7" s="1" t="s">
        <v>277</v>
      </c>
      <c r="J7" s="1" t="s">
        <v>279</v>
      </c>
    </row>
    <row r="8" spans="1:10" ht="28">
      <c r="A8" s="1" t="s">
        <v>29</v>
      </c>
      <c r="B8" s="1" t="s">
        <v>218</v>
      </c>
      <c r="C8" s="1" t="s">
        <v>220</v>
      </c>
      <c r="D8" s="1" t="s">
        <v>222</v>
      </c>
      <c r="E8" s="1" t="s">
        <v>224</v>
      </c>
    </row>
    <row r="9" spans="1:10" ht="28">
      <c r="A9" s="1" t="s">
        <v>34</v>
      </c>
      <c r="B9" s="1" t="s">
        <v>226</v>
      </c>
      <c r="C9" s="1" t="s">
        <v>228</v>
      </c>
      <c r="D9" s="1" t="s">
        <v>230</v>
      </c>
      <c r="E9" s="1" t="s">
        <v>232</v>
      </c>
      <c r="G9" s="1" t="s">
        <v>281</v>
      </c>
      <c r="H9" s="1" t="s">
        <v>283</v>
      </c>
      <c r="I9" s="1" t="s">
        <v>285</v>
      </c>
      <c r="J9" s="1" t="s">
        <v>287</v>
      </c>
    </row>
    <row r="10" spans="1:10" ht="28">
      <c r="A10" s="1" t="s">
        <v>39</v>
      </c>
      <c r="B10" s="1" t="s">
        <v>234</v>
      </c>
      <c r="C10" s="1" t="s">
        <v>236</v>
      </c>
      <c r="D10" s="1" t="s">
        <v>238</v>
      </c>
      <c r="E10" s="1" t="s">
        <v>240</v>
      </c>
      <c r="G10" s="1" t="s">
        <v>289</v>
      </c>
      <c r="H10" s="1" t="s">
        <v>291</v>
      </c>
      <c r="I10" s="1" t="s">
        <v>293</v>
      </c>
      <c r="J10" s="1" t="s">
        <v>295</v>
      </c>
    </row>
    <row r="11" spans="1:10" ht="28">
      <c r="A11" s="1" t="s">
        <v>44</v>
      </c>
      <c r="B11" s="1" t="s">
        <v>242</v>
      </c>
      <c r="C11" s="1" t="s">
        <v>244</v>
      </c>
      <c r="D11" s="1" t="s">
        <v>150</v>
      </c>
      <c r="E11" s="1" t="s">
        <v>247</v>
      </c>
      <c r="G11" s="1" t="s">
        <v>148</v>
      </c>
      <c r="H11" s="1" t="s">
        <v>150</v>
      </c>
      <c r="I11" s="1" t="s">
        <v>152</v>
      </c>
      <c r="J11" s="1" t="s">
        <v>154</v>
      </c>
    </row>
    <row r="12" spans="1:10">
      <c r="A12" s="1" t="s">
        <v>49</v>
      </c>
      <c r="B12" s="1">
        <v>0.746</v>
      </c>
      <c r="C12" s="1">
        <v>0.748</v>
      </c>
      <c r="D12" s="1">
        <v>0.745</v>
      </c>
      <c r="E12" s="1">
        <v>0.746</v>
      </c>
      <c r="G12" s="1" t="s">
        <v>156</v>
      </c>
      <c r="H12" s="1" t="s">
        <v>157</v>
      </c>
      <c r="I12" s="1" t="s">
        <v>158</v>
      </c>
      <c r="J12" s="1" t="s">
        <v>156</v>
      </c>
    </row>
    <row r="13" spans="1:10" ht="42">
      <c r="A13" s="1" t="s">
        <v>54</v>
      </c>
      <c r="B13" s="1">
        <v>-196.869</v>
      </c>
      <c r="C13" s="1">
        <v>-200.02500000000001</v>
      </c>
      <c r="D13" s="1">
        <v>-196.21299999999999</v>
      </c>
      <c r="E13" s="1">
        <v>-197.86099999999999</v>
      </c>
      <c r="G13" s="1" t="s">
        <v>159</v>
      </c>
      <c r="H13" s="1" t="s">
        <v>161</v>
      </c>
      <c r="I13" s="1" t="s">
        <v>163</v>
      </c>
      <c r="J13" s="1" t="s">
        <v>165</v>
      </c>
    </row>
    <row r="15" spans="1:10" ht="42">
      <c r="A15" s="1" t="s">
        <v>59</v>
      </c>
      <c r="B15" s="1">
        <v>407.738</v>
      </c>
      <c r="C15" s="1">
        <v>414.05</v>
      </c>
      <c r="D15" s="1">
        <v>406.42599999999999</v>
      </c>
      <c r="E15" s="1">
        <v>409.72199999999998</v>
      </c>
      <c r="G15" s="1" t="s">
        <v>167</v>
      </c>
      <c r="H15" s="1" t="s">
        <v>169</v>
      </c>
      <c r="I15" s="1" t="s">
        <v>171</v>
      </c>
      <c r="J15" s="1" t="s">
        <v>173</v>
      </c>
    </row>
    <row r="16" spans="1:10" ht="28">
      <c r="A16" s="1" t="s">
        <v>64</v>
      </c>
      <c r="B16" s="1">
        <v>430.75599999999997</v>
      </c>
      <c r="C16" s="1">
        <v>437.06799999999998</v>
      </c>
      <c r="D16" s="1">
        <v>429.44400000000002</v>
      </c>
      <c r="E16" s="1">
        <v>432.73899999999998</v>
      </c>
      <c r="G16" s="1" t="s">
        <v>175</v>
      </c>
      <c r="H16" s="1" t="s">
        <v>177</v>
      </c>
      <c r="I16" s="1" t="s">
        <v>179</v>
      </c>
      <c r="J16" s="1" t="s">
        <v>181</v>
      </c>
    </row>
    <row r="17" spans="1:10">
      <c r="A17" s="1" t="s">
        <v>69</v>
      </c>
      <c r="B17" s="1">
        <v>38.619</v>
      </c>
      <c r="C17" s="1">
        <v>22.042000000000002</v>
      </c>
      <c r="D17" s="1">
        <v>42.892000000000003</v>
      </c>
      <c r="E17" s="1">
        <v>40.023000000000003</v>
      </c>
      <c r="G17" s="1" t="s">
        <v>297</v>
      </c>
      <c r="H17" s="1" t="s">
        <v>299</v>
      </c>
      <c r="I17" s="1" t="s">
        <v>301</v>
      </c>
      <c r="J17" s="1" t="s">
        <v>303</v>
      </c>
    </row>
    <row r="18" spans="1:10" ht="42">
      <c r="A18" s="1" t="s">
        <v>74</v>
      </c>
      <c r="B18" s="1">
        <v>23.687999999999999</v>
      </c>
      <c r="C18" s="1">
        <v>17.376000000000001</v>
      </c>
      <c r="D18" s="1">
        <v>25</v>
      </c>
      <c r="E18" s="1">
        <v>21.704999999999998</v>
      </c>
      <c r="G18" s="1" t="s">
        <v>305</v>
      </c>
      <c r="H18" s="1" t="s">
        <v>307</v>
      </c>
      <c r="I18" s="1" t="s">
        <v>309</v>
      </c>
      <c r="J18" s="1" t="s">
        <v>311</v>
      </c>
    </row>
    <row r="19" spans="1:10" ht="42">
      <c r="A19" s="1" t="s">
        <v>79</v>
      </c>
      <c r="B19" s="1">
        <v>22.82</v>
      </c>
      <c r="C19" s="1">
        <v>17.356000000000002</v>
      </c>
      <c r="D19" s="1">
        <v>24.934999999999999</v>
      </c>
      <c r="E19" s="1">
        <v>23.262</v>
      </c>
      <c r="G19" s="1" t="s">
        <v>313</v>
      </c>
      <c r="H19" s="1" t="s">
        <v>315</v>
      </c>
      <c r="I19" s="1" t="s">
        <v>317</v>
      </c>
      <c r="J19" s="1" t="s">
        <v>319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9AAE-FAA9-4F1C-AAB7-41FE0163AA6A}">
  <dimension ref="A1:V13"/>
  <sheetViews>
    <sheetView zoomScale="130" zoomScaleNormal="130" workbookViewId="0">
      <selection activeCell="F3" sqref="A1:J13"/>
    </sheetView>
  </sheetViews>
  <sheetFormatPr defaultRowHeight="14"/>
  <cols>
    <col min="1" max="1" width="8.1640625" customWidth="1"/>
    <col min="2" max="5" width="8.75" customWidth="1"/>
    <col min="6" max="6" width="1.08203125" customWidth="1"/>
    <col min="7" max="10" width="8.75" customWidth="1"/>
  </cols>
  <sheetData>
    <row r="1" spans="1:22">
      <c r="A1" s="12" t="s">
        <v>143</v>
      </c>
      <c r="B1" s="14" t="s">
        <v>140</v>
      </c>
      <c r="C1" s="14"/>
      <c r="D1" s="14"/>
      <c r="E1" s="14"/>
      <c r="F1" s="5"/>
      <c r="G1" s="14" t="s">
        <v>141</v>
      </c>
      <c r="H1" s="14"/>
      <c r="I1" s="14"/>
      <c r="J1" s="14"/>
      <c r="M1" s="15"/>
      <c r="N1" s="14"/>
      <c r="O1" s="14"/>
      <c r="P1" s="14"/>
      <c r="Q1" s="14"/>
      <c r="R1" s="5"/>
      <c r="S1" s="14"/>
      <c r="T1" s="14"/>
      <c r="U1" s="14"/>
      <c r="V1" s="14"/>
    </row>
    <row r="2" spans="1:22" ht="14.5" thickBot="1">
      <c r="A2" s="13"/>
      <c r="B2" s="6" t="s">
        <v>0</v>
      </c>
      <c r="C2" s="6" t="s">
        <v>1</v>
      </c>
      <c r="D2" s="6" t="s">
        <v>2</v>
      </c>
      <c r="E2" s="6" t="s">
        <v>3</v>
      </c>
      <c r="F2" s="6"/>
      <c r="G2" s="6" t="s">
        <v>0</v>
      </c>
      <c r="H2" s="6" t="s">
        <v>1</v>
      </c>
      <c r="I2" s="6" t="s">
        <v>2</v>
      </c>
      <c r="J2" s="6" t="s">
        <v>3</v>
      </c>
      <c r="M2" s="13"/>
      <c r="N2" s="6"/>
      <c r="O2" s="6"/>
      <c r="P2" s="6"/>
      <c r="Q2" s="6"/>
      <c r="R2" s="6"/>
      <c r="S2" s="6"/>
      <c r="T2" s="6"/>
      <c r="U2" s="6"/>
      <c r="V2" s="6"/>
    </row>
    <row r="3" spans="1:22" ht="26">
      <c r="A3" s="7" t="s">
        <v>4</v>
      </c>
      <c r="B3" s="10" t="s">
        <v>183</v>
      </c>
      <c r="C3" s="10" t="s">
        <v>185</v>
      </c>
      <c r="D3" s="10" t="s">
        <v>187</v>
      </c>
      <c r="E3" s="10" t="s">
        <v>189</v>
      </c>
      <c r="F3" s="10"/>
      <c r="G3" s="10" t="s">
        <v>249</v>
      </c>
      <c r="H3" s="10" t="s">
        <v>251</v>
      </c>
      <c r="I3" s="10" t="s">
        <v>253</v>
      </c>
      <c r="J3" s="10" t="s">
        <v>255</v>
      </c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26">
      <c r="A4" s="7" t="s">
        <v>9</v>
      </c>
      <c r="B4" s="10" t="s">
        <v>191</v>
      </c>
      <c r="C4" s="10" t="s">
        <v>323</v>
      </c>
      <c r="D4" s="10" t="s">
        <v>194</v>
      </c>
      <c r="E4" s="10" t="s">
        <v>196</v>
      </c>
      <c r="F4" s="10"/>
      <c r="G4" s="10" t="s">
        <v>257</v>
      </c>
      <c r="H4" s="10" t="s">
        <v>259</v>
      </c>
      <c r="I4" s="10" t="s">
        <v>261</v>
      </c>
      <c r="J4" s="10" t="s">
        <v>263</v>
      </c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26">
      <c r="A5" s="7" t="s">
        <v>14</v>
      </c>
      <c r="B5" s="10" t="s">
        <v>198</v>
      </c>
      <c r="C5" s="10" t="s">
        <v>200</v>
      </c>
      <c r="D5" s="10" t="s">
        <v>202</v>
      </c>
      <c r="E5" s="10" t="s">
        <v>204</v>
      </c>
      <c r="F5" s="10"/>
      <c r="G5" s="10" t="s">
        <v>265</v>
      </c>
      <c r="H5" s="10" t="s">
        <v>267</v>
      </c>
      <c r="I5" s="10" t="s">
        <v>269</v>
      </c>
      <c r="J5" s="10" t="s">
        <v>271</v>
      </c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26">
      <c r="A6" s="7" t="s">
        <v>19</v>
      </c>
      <c r="B6" s="10" t="s">
        <v>321</v>
      </c>
      <c r="C6" s="10" t="s">
        <v>322</v>
      </c>
      <c r="D6" s="10" t="s">
        <v>207</v>
      </c>
      <c r="E6" s="10" t="s">
        <v>209</v>
      </c>
      <c r="F6" s="10"/>
      <c r="G6" s="10"/>
      <c r="H6" s="10"/>
      <c r="I6" s="10"/>
      <c r="J6" s="10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26">
      <c r="A7" s="7" t="s">
        <v>24</v>
      </c>
      <c r="B7" s="10" t="s">
        <v>211</v>
      </c>
      <c r="C7" s="10" t="s">
        <v>213</v>
      </c>
      <c r="D7" s="10" t="s">
        <v>215</v>
      </c>
      <c r="E7" s="10" t="s">
        <v>217</v>
      </c>
      <c r="F7" s="10"/>
      <c r="G7" s="10" t="s">
        <v>273</v>
      </c>
      <c r="H7" s="10" t="s">
        <v>275</v>
      </c>
      <c r="I7" s="10" t="s">
        <v>277</v>
      </c>
      <c r="J7" s="10" t="s">
        <v>279</v>
      </c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26">
      <c r="A8" s="7" t="s">
        <v>29</v>
      </c>
      <c r="B8" s="10" t="s">
        <v>218</v>
      </c>
      <c r="C8" s="10" t="s">
        <v>220</v>
      </c>
      <c r="D8" s="10" t="s">
        <v>222</v>
      </c>
      <c r="E8" s="10" t="s">
        <v>224</v>
      </c>
      <c r="F8" s="10"/>
      <c r="G8" s="10"/>
      <c r="H8" s="10"/>
      <c r="I8" s="10"/>
      <c r="J8" s="10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26">
      <c r="A9" s="7" t="s">
        <v>34</v>
      </c>
      <c r="B9" s="10" t="s">
        <v>226</v>
      </c>
      <c r="C9" s="10" t="s">
        <v>228</v>
      </c>
      <c r="D9" s="10" t="s">
        <v>230</v>
      </c>
      <c r="E9" s="10" t="s">
        <v>232</v>
      </c>
      <c r="F9" s="10"/>
      <c r="G9" s="10" t="s">
        <v>281</v>
      </c>
      <c r="H9" s="10" t="s">
        <v>283</v>
      </c>
      <c r="I9" s="10" t="s">
        <v>285</v>
      </c>
      <c r="J9" s="10" t="s">
        <v>287</v>
      </c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26">
      <c r="A10" s="7" t="s">
        <v>39</v>
      </c>
      <c r="B10" s="10" t="s">
        <v>234</v>
      </c>
      <c r="C10" s="10" t="s">
        <v>236</v>
      </c>
      <c r="D10" s="10" t="s">
        <v>238</v>
      </c>
      <c r="E10" s="10" t="s">
        <v>240</v>
      </c>
      <c r="F10" s="10"/>
      <c r="G10" s="10" t="s">
        <v>289</v>
      </c>
      <c r="H10" s="10" t="s">
        <v>291</v>
      </c>
      <c r="I10" s="10" t="s">
        <v>293</v>
      </c>
      <c r="J10" s="10" t="s">
        <v>295</v>
      </c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26">
      <c r="A11" s="7" t="s">
        <v>44</v>
      </c>
      <c r="B11" s="10" t="s">
        <v>242</v>
      </c>
      <c r="C11" s="10" t="s">
        <v>244</v>
      </c>
      <c r="D11" s="10" t="s">
        <v>150</v>
      </c>
      <c r="E11" s="10" t="s">
        <v>247</v>
      </c>
      <c r="F11" s="10"/>
      <c r="G11" s="10" t="s">
        <v>148</v>
      </c>
      <c r="H11" s="10" t="s">
        <v>150</v>
      </c>
      <c r="I11" s="10" t="s">
        <v>152</v>
      </c>
      <c r="J11" s="10" t="s">
        <v>154</v>
      </c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7" t="s">
        <v>49</v>
      </c>
      <c r="B12" s="10">
        <v>0.746</v>
      </c>
      <c r="C12" s="10">
        <v>0.748</v>
      </c>
      <c r="D12" s="10">
        <v>0.745</v>
      </c>
      <c r="E12" s="10">
        <v>0.746</v>
      </c>
      <c r="F12" s="10"/>
      <c r="G12" s="10" t="s">
        <v>156</v>
      </c>
      <c r="H12" s="10" t="s">
        <v>157</v>
      </c>
      <c r="I12" s="10" t="s">
        <v>158</v>
      </c>
      <c r="J12" s="10" t="s">
        <v>156</v>
      </c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26.5" thickBot="1">
      <c r="A13" s="6" t="s">
        <v>54</v>
      </c>
      <c r="B13" s="11">
        <v>-196.869</v>
      </c>
      <c r="C13" s="11">
        <v>-200.02500000000001</v>
      </c>
      <c r="D13" s="11">
        <v>-196.21299999999999</v>
      </c>
      <c r="E13" s="11">
        <v>-197.86099999999999</v>
      </c>
      <c r="F13" s="11"/>
      <c r="G13" s="11" t="s">
        <v>159</v>
      </c>
      <c r="H13" s="11" t="s">
        <v>161</v>
      </c>
      <c r="I13" s="11" t="s">
        <v>163</v>
      </c>
      <c r="J13" s="11" t="s">
        <v>165</v>
      </c>
      <c r="M13" s="6"/>
      <c r="N13" s="6"/>
      <c r="O13" s="6"/>
      <c r="P13" s="6"/>
      <c r="Q13" s="6"/>
      <c r="R13" s="6"/>
      <c r="S13" s="6"/>
      <c r="T13" s="6"/>
      <c r="U13" s="6"/>
      <c r="V13" s="6"/>
    </row>
  </sheetData>
  <mergeCells count="6">
    <mergeCell ref="M1:M2"/>
    <mergeCell ref="N1:Q1"/>
    <mergeCell ref="S1:V1"/>
    <mergeCell ref="A1:A2"/>
    <mergeCell ref="B1:E1"/>
    <mergeCell ref="G1:J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4335-4D59-454F-BF2E-C3CA1FFF93E0}">
  <dimension ref="A1:T13"/>
  <sheetViews>
    <sheetView topLeftCell="C1" zoomScale="130" zoomScaleNormal="130" workbookViewId="0">
      <selection activeCell="K1" sqref="K1:T13"/>
    </sheetView>
  </sheetViews>
  <sheetFormatPr defaultRowHeight="14"/>
  <cols>
    <col min="1" max="1" width="8.1640625" customWidth="1"/>
    <col min="2" max="4" width="9.08203125" customWidth="1"/>
    <col min="5" max="5" width="1.08203125" customWidth="1"/>
    <col min="6" max="8" width="9.08203125" customWidth="1"/>
  </cols>
  <sheetData>
    <row r="1" spans="1:20">
      <c r="A1" s="12" t="s">
        <v>143</v>
      </c>
      <c r="B1" s="14" t="s">
        <v>140</v>
      </c>
      <c r="C1" s="14"/>
      <c r="D1" s="14"/>
      <c r="E1" s="5"/>
      <c r="F1" s="14" t="s">
        <v>141</v>
      </c>
      <c r="G1" s="14"/>
      <c r="H1" s="14"/>
      <c r="K1" s="5"/>
      <c r="L1" s="14"/>
      <c r="M1" s="14"/>
      <c r="N1" s="14"/>
      <c r="O1" s="14"/>
      <c r="P1" s="5"/>
      <c r="Q1" s="14"/>
      <c r="R1" s="14"/>
      <c r="S1" s="14"/>
      <c r="T1" s="14"/>
    </row>
    <row r="2" spans="1:20" ht="14.5" thickBot="1">
      <c r="A2" s="13"/>
      <c r="B2" s="6" t="s">
        <v>0</v>
      </c>
      <c r="C2" s="6" t="s">
        <v>1</v>
      </c>
      <c r="D2" s="6" t="s">
        <v>2</v>
      </c>
      <c r="E2" s="6"/>
      <c r="F2" s="6" t="s">
        <v>0</v>
      </c>
      <c r="G2" s="6" t="s">
        <v>1</v>
      </c>
      <c r="H2" s="6" t="s">
        <v>2</v>
      </c>
      <c r="K2" s="17"/>
      <c r="L2" s="6"/>
      <c r="M2" s="6"/>
      <c r="N2" s="6"/>
      <c r="O2" s="6"/>
      <c r="P2" s="6"/>
      <c r="Q2" s="6"/>
      <c r="R2" s="6"/>
      <c r="S2" s="6"/>
      <c r="T2" s="6"/>
    </row>
    <row r="3" spans="1:20" ht="26">
      <c r="A3" s="7" t="s">
        <v>4</v>
      </c>
      <c r="B3" s="10" t="s">
        <v>183</v>
      </c>
      <c r="C3" s="10" t="s">
        <v>185</v>
      </c>
      <c r="D3" s="10" t="s">
        <v>187</v>
      </c>
      <c r="E3" s="10"/>
      <c r="F3" s="10" t="s">
        <v>249</v>
      </c>
      <c r="G3" s="10" t="s">
        <v>251</v>
      </c>
      <c r="H3" s="10" t="s">
        <v>253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26">
      <c r="A4" s="7" t="s">
        <v>9</v>
      </c>
      <c r="B4" s="10" t="s">
        <v>191</v>
      </c>
      <c r="C4" s="10" t="s">
        <v>323</v>
      </c>
      <c r="D4" s="10" t="s">
        <v>194</v>
      </c>
      <c r="E4" s="10"/>
      <c r="F4" s="10" t="s">
        <v>257</v>
      </c>
      <c r="G4" s="10" t="s">
        <v>259</v>
      </c>
      <c r="H4" s="10" t="s">
        <v>261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26">
      <c r="A5" s="7" t="s">
        <v>14</v>
      </c>
      <c r="B5" s="10" t="s">
        <v>198</v>
      </c>
      <c r="C5" s="10" t="s">
        <v>200</v>
      </c>
      <c r="D5" s="10" t="s">
        <v>202</v>
      </c>
      <c r="E5" s="10"/>
      <c r="F5" s="10" t="s">
        <v>265</v>
      </c>
      <c r="G5" s="10" t="s">
        <v>267</v>
      </c>
      <c r="H5" s="10" t="s">
        <v>269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26">
      <c r="A6" s="7" t="s">
        <v>19</v>
      </c>
      <c r="B6" s="10" t="s">
        <v>321</v>
      </c>
      <c r="C6" s="10" t="s">
        <v>322</v>
      </c>
      <c r="D6" s="10" t="s">
        <v>207</v>
      </c>
      <c r="E6" s="10"/>
      <c r="F6" s="10"/>
      <c r="G6" s="10"/>
      <c r="H6" s="10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26">
      <c r="A7" s="7" t="s">
        <v>24</v>
      </c>
      <c r="B7" s="10" t="s">
        <v>211</v>
      </c>
      <c r="C7" s="10" t="s">
        <v>213</v>
      </c>
      <c r="D7" s="10" t="s">
        <v>215</v>
      </c>
      <c r="E7" s="10"/>
      <c r="F7" s="10" t="s">
        <v>273</v>
      </c>
      <c r="G7" s="10" t="s">
        <v>275</v>
      </c>
      <c r="H7" s="10" t="s">
        <v>277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26">
      <c r="A8" s="7" t="s">
        <v>29</v>
      </c>
      <c r="B8" s="10" t="s">
        <v>218</v>
      </c>
      <c r="C8" s="10" t="s">
        <v>220</v>
      </c>
      <c r="D8" s="10" t="s">
        <v>222</v>
      </c>
      <c r="E8" s="10"/>
      <c r="F8" s="10"/>
      <c r="G8" s="10"/>
      <c r="H8" s="10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26">
      <c r="A9" s="7" t="s">
        <v>34</v>
      </c>
      <c r="B9" s="10" t="s">
        <v>226</v>
      </c>
      <c r="C9" s="10" t="s">
        <v>228</v>
      </c>
      <c r="D9" s="10" t="s">
        <v>230</v>
      </c>
      <c r="E9" s="10"/>
      <c r="F9" s="10" t="s">
        <v>281</v>
      </c>
      <c r="G9" s="10" t="s">
        <v>283</v>
      </c>
      <c r="H9" s="10" t="s">
        <v>285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26">
      <c r="A10" s="7" t="s">
        <v>39</v>
      </c>
      <c r="B10" s="10" t="s">
        <v>234</v>
      </c>
      <c r="C10" s="10" t="s">
        <v>236</v>
      </c>
      <c r="D10" s="10" t="s">
        <v>238</v>
      </c>
      <c r="E10" s="10"/>
      <c r="F10" s="10" t="s">
        <v>289</v>
      </c>
      <c r="G10" s="10" t="s">
        <v>291</v>
      </c>
      <c r="H10" s="10" t="s">
        <v>293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26">
      <c r="A11" s="7" t="s">
        <v>44</v>
      </c>
      <c r="B11" s="10" t="s">
        <v>242</v>
      </c>
      <c r="C11" s="10" t="s">
        <v>244</v>
      </c>
      <c r="D11" s="10" t="s">
        <v>150</v>
      </c>
      <c r="E11" s="10"/>
      <c r="F11" s="10" t="s">
        <v>148</v>
      </c>
      <c r="G11" s="10" t="s">
        <v>150</v>
      </c>
      <c r="H11" s="10" t="s">
        <v>152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>
      <c r="A12" s="7" t="s">
        <v>49</v>
      </c>
      <c r="B12" s="10">
        <v>0.746</v>
      </c>
      <c r="C12" s="10">
        <v>0.748</v>
      </c>
      <c r="D12" s="10">
        <v>0.745</v>
      </c>
      <c r="E12" s="10"/>
      <c r="F12" s="10" t="s">
        <v>156</v>
      </c>
      <c r="G12" s="10" t="s">
        <v>157</v>
      </c>
      <c r="H12" s="10" t="s">
        <v>158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26.5" thickBot="1">
      <c r="A13" s="6" t="s">
        <v>54</v>
      </c>
      <c r="B13" s="11">
        <v>-196.869</v>
      </c>
      <c r="C13" s="11">
        <v>-200.02500000000001</v>
      </c>
      <c r="D13" s="11">
        <v>-196.21299999999999</v>
      </c>
      <c r="E13" s="11"/>
      <c r="F13" s="11" t="s">
        <v>159</v>
      </c>
      <c r="G13" s="11" t="s">
        <v>161</v>
      </c>
      <c r="H13" s="11" t="s">
        <v>163</v>
      </c>
      <c r="K13" s="6"/>
      <c r="L13" s="6"/>
      <c r="M13" s="6"/>
      <c r="N13" s="6"/>
      <c r="O13" s="6"/>
      <c r="P13" s="6"/>
      <c r="Q13" s="6"/>
      <c r="R13" s="6"/>
      <c r="S13" s="6"/>
      <c r="T13" s="6"/>
    </row>
  </sheetData>
  <mergeCells count="5">
    <mergeCell ref="Q1:T1"/>
    <mergeCell ref="A1:A2"/>
    <mergeCell ref="B1:D1"/>
    <mergeCell ref="F1:H1"/>
    <mergeCell ref="L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3f-Sheet5</vt:lpstr>
      <vt:lpstr>Sheet6</vt:lpstr>
      <vt:lpstr>Sheet7</vt:lpstr>
      <vt:lpstr>3f-K5-Sheet7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2026-03-28T09:13:39Z</dcterms:modified>
</cp:coreProperties>
</file>