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9_{AE2539BC-B9F9-4005-AF7C-2D6E77E18AC6}" xr6:coauthVersionLast="47" xr6:coauthVersionMax="47" xr10:uidLastSave="{00000000-0000-0000-0000-000000000000}"/>
  <bookViews>
    <workbookView xWindow="-110" yWindow="-110" windowWidth="25820" windowHeight="13900" tabRatio="413" activeTab="6" xr2:uid="{04685AD0-15AB-4A94-8EE9-29E775512FE7}"/>
  </bookViews>
  <sheets>
    <sheet name="data02" sheetId="1" r:id="rId1"/>
    <sheet name="road1" sheetId="6" r:id="rId2"/>
    <sheet name="pop" sheetId="5" r:id="rId3"/>
    <sheet name="access" sheetId="3" r:id="rId4"/>
    <sheet name="ln_access" sheetId="2" r:id="rId5"/>
    <sheet name="compare" sheetId="4" r:id="rId6"/>
    <sheet name="Sheet1" sheetId="7" r:id="rId7"/>
  </sheets>
  <definedNames>
    <definedName name="_xlchart.v1.0" hidden="1">road1!$A$1</definedName>
    <definedName name="_xlchart.v1.1" hidden="1">road1!$A$2:$A$199</definedName>
    <definedName name="_xlchart.v1.10" hidden="1">access!$A$2:$A$199</definedName>
    <definedName name="_xlchart.v1.11" hidden="1">access!$B$1</definedName>
    <definedName name="_xlchart.v1.12" hidden="1">access!$B$2:$B$199</definedName>
    <definedName name="_xlchart.v1.13" hidden="1">data02!$L$2:$L$199</definedName>
    <definedName name="_xlchart.v1.14" hidden="1">ln_access!$G$1</definedName>
    <definedName name="_xlchart.v1.15" hidden="1">ln_access!$G$2:$G$199</definedName>
    <definedName name="_xlchart.v1.16" hidden="1">ln_access!$H$1</definedName>
    <definedName name="_xlchart.v1.17" hidden="1">ln_access!$H$2:$H$199</definedName>
    <definedName name="_xlchart.v1.18" hidden="1">data02!$M$2:$M$199</definedName>
    <definedName name="_xlchart.v1.19" hidden="1">ln_access!$G$1</definedName>
    <definedName name="_xlchart.v1.2" hidden="1">pop!$A$1</definedName>
    <definedName name="_xlchart.v1.20" hidden="1">ln_access!$G$2:$G$199</definedName>
    <definedName name="_xlchart.v1.21" hidden="1">ln_access!$H$1</definedName>
    <definedName name="_xlchart.v1.22" hidden="1">ln_access!$H$2:$H$199</definedName>
    <definedName name="_xlchart.v1.3" hidden="1">pop!$A$2:$A$199</definedName>
    <definedName name="_xlchart.v1.4" hidden="1">pop!$L$2:$L$199</definedName>
    <definedName name="_xlchart.v1.5" hidden="1">access!$A$1</definedName>
    <definedName name="_xlchart.v1.6" hidden="1">access!$A$2:$A$199</definedName>
    <definedName name="_xlchart.v1.7" hidden="1">access!$B$1</definedName>
    <definedName name="_xlchart.v1.8" hidden="1">access!$B$2:$B$199</definedName>
    <definedName name="_xlchart.v1.9" hidden="1">access!$A$1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O2" i="5" l="1" a="1"/>
  <c r="O2" i="5" s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3" i="5"/>
  <c r="L4" i="5"/>
  <c r="L5" i="5"/>
  <c r="L6" i="5"/>
  <c r="L7" i="5"/>
  <c r="L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" i="4"/>
  <c r="J9" i="4"/>
  <c r="J8" i="4"/>
  <c r="L2" i="4" a="1"/>
  <c r="L2" i="4" s="1"/>
  <c r="M2" i="4" a="1"/>
  <c r="M2" i="4" s="1"/>
  <c r="Q3" i="2" a="1"/>
  <c r="Q3" i="2" s="1"/>
  <c r="P3" i="2" a="1"/>
  <c r="P3" i="2" s="1"/>
  <c r="J6" i="4"/>
  <c r="J5" i="4"/>
  <c r="I3" i="4"/>
  <c r="N14" i="4" s="1"/>
  <c r="I4" i="4"/>
  <c r="N8" i="4" s="1"/>
  <c r="I5" i="4"/>
  <c r="I6" i="4"/>
  <c r="N9" i="4" s="1"/>
  <c r="I7" i="4"/>
  <c r="I8" i="4"/>
  <c r="I9" i="4"/>
  <c r="N11" i="4" s="1"/>
  <c r="I10" i="4"/>
  <c r="I11" i="4"/>
  <c r="N13" i="4" s="1"/>
  <c r="I12" i="4"/>
  <c r="I13" i="4"/>
  <c r="N5" i="4" s="1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N12" i="4" s="1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N6" i="4" s="1"/>
  <c r="I45" i="4"/>
  <c r="I46" i="4"/>
  <c r="I47" i="4"/>
  <c r="N7" i="4" s="1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N4" i="4" s="1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N15" i="4" s="1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N16" i="4" s="1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N3" i="4" s="1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" i="4"/>
  <c r="N10" i="4" s="1"/>
  <c r="C3" i="4"/>
  <c r="D3" i="4" s="1"/>
  <c r="C4" i="4"/>
  <c r="D4" i="4" s="1"/>
  <c r="C5" i="4"/>
  <c r="D5" i="4"/>
  <c r="C6" i="4"/>
  <c r="D6" i="4" s="1"/>
  <c r="C7" i="4"/>
  <c r="D7" i="4" s="1"/>
  <c r="C8" i="4"/>
  <c r="D8" i="4"/>
  <c r="C9" i="4"/>
  <c r="D9" i="4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/>
  <c r="C23" i="4"/>
  <c r="D23" i="4"/>
  <c r="C24" i="4"/>
  <c r="D24" i="4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/>
  <c r="C35" i="4"/>
  <c r="D35" i="4" s="1"/>
  <c r="C36" i="4"/>
  <c r="D36" i="4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/>
  <c r="C46" i="4"/>
  <c r="D46" i="4" s="1"/>
  <c r="C47" i="4"/>
  <c r="D47" i="4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/>
  <c r="C64" i="4"/>
  <c r="D64" i="4" s="1"/>
  <c r="C65" i="4"/>
  <c r="D65" i="4" s="1"/>
  <c r="C66" i="4"/>
  <c r="D66" i="4" s="1"/>
  <c r="C67" i="4"/>
  <c r="D67" i="4" s="1"/>
  <c r="C68" i="4"/>
  <c r="D68" i="4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/>
  <c r="C75" i="4"/>
  <c r="D75" i="4" s="1"/>
  <c r="C76" i="4"/>
  <c r="D76" i="4" s="1"/>
  <c r="C77" i="4"/>
  <c r="D77" i="4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/>
  <c r="C85" i="4"/>
  <c r="D85" i="4" s="1"/>
  <c r="C86" i="4"/>
  <c r="D86" i="4" s="1"/>
  <c r="C87" i="4"/>
  <c r="D87" i="4" s="1"/>
  <c r="C88" i="4"/>
  <c r="D88" i="4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/>
  <c r="C120" i="4"/>
  <c r="D120" i="4" s="1"/>
  <c r="C121" i="4"/>
  <c r="D121" i="4" s="1"/>
  <c r="C122" i="4"/>
  <c r="D122" i="4" s="1"/>
  <c r="C123" i="4"/>
  <c r="D123" i="4"/>
  <c r="C124" i="4"/>
  <c r="D124" i="4" s="1"/>
  <c r="C125" i="4"/>
  <c r="D125" i="4"/>
  <c r="C126" i="4"/>
  <c r="D126" i="4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/>
  <c r="C154" i="4"/>
  <c r="D154" i="4" s="1"/>
  <c r="C155" i="4"/>
  <c r="D155" i="4"/>
  <c r="C156" i="4"/>
  <c r="D156" i="4" s="1"/>
  <c r="C157" i="4"/>
  <c r="D157" i="4" s="1"/>
  <c r="C158" i="4"/>
  <c r="D158" i="4"/>
  <c r="C159" i="4"/>
  <c r="D159" i="4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/>
  <c r="C176" i="4"/>
  <c r="D176" i="4" s="1"/>
  <c r="C177" i="4"/>
  <c r="D177" i="4" s="1"/>
  <c r="C178" i="4"/>
  <c r="D178" i="4"/>
  <c r="C179" i="4"/>
  <c r="D179" i="4" s="1"/>
  <c r="C180" i="4"/>
  <c r="D180" i="4" s="1"/>
  <c r="C181" i="4"/>
  <c r="D181" i="4" s="1"/>
  <c r="C182" i="4"/>
  <c r="D182" i="4"/>
  <c r="C183" i="4"/>
  <c r="D183" i="4" s="1"/>
  <c r="C184" i="4"/>
  <c r="D184" i="4" s="1"/>
  <c r="C185" i="4"/>
  <c r="D185" i="4" s="1"/>
  <c r="C186" i="4"/>
  <c r="D186" i="4"/>
  <c r="C187" i="4"/>
  <c r="D187" i="4" s="1"/>
  <c r="C188" i="4"/>
  <c r="D188" i="4"/>
  <c r="C189" i="4"/>
  <c r="D189" i="4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" i="4"/>
  <c r="D2" i="4" s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M2" i="1"/>
  <c r="L2" i="1"/>
  <c r="F2" i="4" l="1"/>
  <c r="F3" i="4"/>
  <c r="J3" i="4"/>
  <c r="J2" i="4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<sst xmlns="http://purl.oclc.org/ooxml/spreadsheetml/main" count="844" uniqueCount="239">
  <si>
    <t>STREET</t>
  </si>
  <si>
    <t>AREA</t>
  </si>
  <si>
    <t>roads_perc</t>
  </si>
  <si>
    <t>roads_nodes</t>
  </si>
  <si>
    <t>gdp</t>
  </si>
  <si>
    <t>housing_price</t>
  </si>
  <si>
    <t>pop_density</t>
  </si>
  <si>
    <t>pois</t>
  </si>
  <si>
    <t>zone_perc</t>
  </si>
  <si>
    <t>access</t>
  </si>
  <si>
    <t>access_5k</t>
  </si>
  <si>
    <t>万祥镇</t>
  </si>
  <si>
    <t>浦东新区</t>
  </si>
  <si>
    <t>书院镇</t>
  </si>
  <si>
    <t>周浦镇</t>
  </si>
  <si>
    <t>大团镇</t>
  </si>
  <si>
    <t>宣桥镇</t>
  </si>
  <si>
    <t>康桥镇</t>
  </si>
  <si>
    <t>惠南镇</t>
  </si>
  <si>
    <t>新场镇</t>
  </si>
  <si>
    <t>航头镇</t>
  </si>
  <si>
    <t>南汇新城镇</t>
  </si>
  <si>
    <t>五里桥街道</t>
  </si>
  <si>
    <t>黄浦区</t>
  </si>
  <si>
    <t>打浦桥街道</t>
  </si>
  <si>
    <t>淮海中路街道</t>
  </si>
  <si>
    <t>瑞金二路街道</t>
  </si>
  <si>
    <t>华亭镇</t>
  </si>
  <si>
    <t>嘉定区</t>
  </si>
  <si>
    <t>南翔镇</t>
  </si>
  <si>
    <t>嘉定镇街道</t>
  </si>
  <si>
    <t>外冈镇</t>
  </si>
  <si>
    <t>安亭镇</t>
  </si>
  <si>
    <t>徐行镇</t>
  </si>
  <si>
    <t>新成路街道</t>
  </si>
  <si>
    <t>江桥镇</t>
  </si>
  <si>
    <t>真新街道</t>
  </si>
  <si>
    <t>马陆镇</t>
  </si>
  <si>
    <t>四团镇</t>
  </si>
  <si>
    <t>奉贤区</t>
  </si>
  <si>
    <t>庄行镇</t>
  </si>
  <si>
    <t>柘林镇</t>
  </si>
  <si>
    <t>海湾镇</t>
  </si>
  <si>
    <t>金汇镇</t>
  </si>
  <si>
    <t>青村镇</t>
  </si>
  <si>
    <t>友谊路街道</t>
  </si>
  <si>
    <t>宝山区</t>
  </si>
  <si>
    <t>吴淞街道</t>
  </si>
  <si>
    <t>大场镇</t>
  </si>
  <si>
    <t>庙行镇</t>
  </si>
  <si>
    <t>张庙街道</t>
  </si>
  <si>
    <t>月浦镇</t>
  </si>
  <si>
    <t>杨行镇</t>
  </si>
  <si>
    <t>淞南镇</t>
  </si>
  <si>
    <t>罗店镇</t>
  </si>
  <si>
    <t>罗泾镇</t>
  </si>
  <si>
    <t>顾村镇</t>
  </si>
  <si>
    <t>高境镇</t>
  </si>
  <si>
    <t>凌云路街道</t>
  </si>
  <si>
    <t>徐汇区</t>
  </si>
  <si>
    <t>华泾镇</t>
  </si>
  <si>
    <t>天平路街道</t>
  </si>
  <si>
    <t>康健新村街道</t>
  </si>
  <si>
    <t>徐家汇街道</t>
  </si>
  <si>
    <t>斜土路街道</t>
  </si>
  <si>
    <t>枫林路街道</t>
  </si>
  <si>
    <t>湖南路街道</t>
  </si>
  <si>
    <t>漕河泾街道</t>
  </si>
  <si>
    <t>田林街道</t>
  </si>
  <si>
    <t>虹梅路街道</t>
  </si>
  <si>
    <t>长桥街道</t>
  </si>
  <si>
    <t>龙华街道</t>
  </si>
  <si>
    <t>宜川路街道</t>
  </si>
  <si>
    <t>普陀区</t>
  </si>
  <si>
    <t>曹杨新村街道</t>
  </si>
  <si>
    <t>桃浦镇</t>
  </si>
  <si>
    <t>甘泉路街道</t>
  </si>
  <si>
    <t>真如镇街道</t>
  </si>
  <si>
    <t>石泉路街道</t>
  </si>
  <si>
    <t>长寿路街道</t>
  </si>
  <si>
    <t>长风新村街道</t>
  </si>
  <si>
    <t>五角场街道</t>
  </si>
  <si>
    <t>杨浦区</t>
  </si>
  <si>
    <t>长海路街道</t>
  </si>
  <si>
    <t>四平路街道</t>
  </si>
  <si>
    <t>大桥街道</t>
  </si>
  <si>
    <t>定海路街道</t>
  </si>
  <si>
    <t>平凉路街道</t>
  </si>
  <si>
    <t>延吉新村街道</t>
  </si>
  <si>
    <t>控江路街道</t>
  </si>
  <si>
    <t>新江湾城街道</t>
  </si>
  <si>
    <t>殷行街道</t>
  </si>
  <si>
    <t>江浦路街道</t>
  </si>
  <si>
    <t>长白新村街道</t>
  </si>
  <si>
    <t>中山街道</t>
  </si>
  <si>
    <t>松江区</t>
  </si>
  <si>
    <t>佘山镇</t>
  </si>
  <si>
    <t>叶榭镇</t>
  </si>
  <si>
    <t>小昆山镇</t>
  </si>
  <si>
    <t>岳阳街道</t>
  </si>
  <si>
    <t>新桥镇</t>
  </si>
  <si>
    <t>新浜镇</t>
  </si>
  <si>
    <t>永丰街道</t>
  </si>
  <si>
    <t>泖港镇</t>
  </si>
  <si>
    <t>泗泾镇</t>
  </si>
  <si>
    <t>洞泾镇</t>
  </si>
  <si>
    <t>石湖荡镇</t>
  </si>
  <si>
    <t>车墩镇</t>
  </si>
  <si>
    <t>三林镇</t>
  </si>
  <si>
    <t>上钢新村街道</t>
  </si>
  <si>
    <t>东明路街道</t>
  </si>
  <si>
    <t>北蔡镇</t>
  </si>
  <si>
    <t>南码头路街道</t>
  </si>
  <si>
    <t>合庆镇</t>
  </si>
  <si>
    <t>周家渡街道</t>
  </si>
  <si>
    <t>唐镇</t>
  </si>
  <si>
    <t>塘桥街道</t>
  </si>
  <si>
    <t>张江镇</t>
  </si>
  <si>
    <t>曹路镇</t>
  </si>
  <si>
    <t>沪东新村街道</t>
  </si>
  <si>
    <t>洋泾街道</t>
  </si>
  <si>
    <t>浦兴路街道</t>
  </si>
  <si>
    <t>潍坊新村街道</t>
  </si>
  <si>
    <t>花木街道</t>
  </si>
  <si>
    <t>金杨新村街道</t>
  </si>
  <si>
    <t>金桥镇</t>
  </si>
  <si>
    <t>陆家嘴街道</t>
  </si>
  <si>
    <t>高东镇</t>
  </si>
  <si>
    <t>高桥镇</t>
  </si>
  <si>
    <t>高行镇</t>
  </si>
  <si>
    <t>凉城新村街道</t>
  </si>
  <si>
    <t>虹口区</t>
  </si>
  <si>
    <t>嘉兴路街道</t>
  </si>
  <si>
    <t>广中路街道</t>
  </si>
  <si>
    <t>北外滩街道</t>
  </si>
  <si>
    <t>曲阳路街道</t>
  </si>
  <si>
    <t>欧阳路街道</t>
  </si>
  <si>
    <t>江湾镇街道</t>
  </si>
  <si>
    <t>亭林镇</t>
  </si>
  <si>
    <t>金山区</t>
  </si>
  <si>
    <t>金山卫镇</t>
  </si>
  <si>
    <t>吕巷镇</t>
  </si>
  <si>
    <t>山阳镇</t>
  </si>
  <si>
    <t>廊下镇</t>
  </si>
  <si>
    <t>张堰镇</t>
  </si>
  <si>
    <t>朱泾镇</t>
  </si>
  <si>
    <t>枫泾镇</t>
  </si>
  <si>
    <t>漕泾镇</t>
  </si>
  <si>
    <t>石化街道</t>
  </si>
  <si>
    <t>仙霞新村街道</t>
  </si>
  <si>
    <t>长宁区</t>
  </si>
  <si>
    <t>北新泾街道</t>
  </si>
  <si>
    <t>华阳路街道</t>
  </si>
  <si>
    <t>周家桥街道</t>
  </si>
  <si>
    <t>天山路街道</t>
  </si>
  <si>
    <t>新华路街道</t>
  </si>
  <si>
    <t>新泾镇</t>
  </si>
  <si>
    <t>江苏路街道</t>
  </si>
  <si>
    <t>程家桥街道</t>
  </si>
  <si>
    <t>虹桥街道</t>
  </si>
  <si>
    <t>七宝镇</t>
  </si>
  <si>
    <t>闵行区</t>
  </si>
  <si>
    <t>华漕镇</t>
  </si>
  <si>
    <t>古美路街道</t>
  </si>
  <si>
    <t>吴泾镇</t>
  </si>
  <si>
    <t>新虹街道</t>
  </si>
  <si>
    <t>梅陇镇</t>
  </si>
  <si>
    <t>江川路街道</t>
  </si>
  <si>
    <t>莘庄镇</t>
  </si>
  <si>
    <t>虹桥镇</t>
  </si>
  <si>
    <t>颛桥镇</t>
  </si>
  <si>
    <t>马桥镇</t>
  </si>
  <si>
    <t>临汾路街道</t>
  </si>
  <si>
    <t>静安区</t>
  </si>
  <si>
    <t>共和新路街道</t>
  </si>
  <si>
    <t>北站街道</t>
  </si>
  <si>
    <t>大宁路街道</t>
  </si>
  <si>
    <t>天目西路街道</t>
  </si>
  <si>
    <t>宝山路街道</t>
  </si>
  <si>
    <t>彭浦新村街道</t>
  </si>
  <si>
    <t>彭浦镇</t>
  </si>
  <si>
    <t>芷江西路街道</t>
  </si>
  <si>
    <t>华新镇</t>
  </si>
  <si>
    <t>青浦区</t>
  </si>
  <si>
    <t>夏阳街道</t>
  </si>
  <si>
    <t>徐泾镇</t>
  </si>
  <si>
    <t>朱家角镇</t>
  </si>
  <si>
    <t>白鹤镇</t>
  </si>
  <si>
    <t>盈浦街道</t>
  </si>
  <si>
    <t>练塘镇</t>
  </si>
  <si>
    <t>赵巷镇</t>
  </si>
  <si>
    <t>重固镇</t>
  </si>
  <si>
    <t>金泽镇</t>
  </si>
  <si>
    <t>香花桥街道</t>
  </si>
  <si>
    <t>南京西路街道</t>
  </si>
  <si>
    <t>曹家渡街道</t>
  </si>
  <si>
    <t>江宁路街道</t>
  </si>
  <si>
    <t>石门二路街道</t>
  </si>
  <si>
    <t>静安寺街道</t>
  </si>
  <si>
    <t>半淞园路街道</t>
  </si>
  <si>
    <t>南京东路街道</t>
  </si>
  <si>
    <t>外滩街道</t>
  </si>
  <si>
    <t>小东门街道</t>
  </si>
  <si>
    <t>老西门街道</t>
  </si>
  <si>
    <t>豫园街道</t>
  </si>
  <si>
    <t>南桥镇</t>
  </si>
  <si>
    <t>西渡街道</t>
  </si>
  <si>
    <t>浦江镇</t>
  </si>
  <si>
    <t>浦锦街道</t>
  </si>
  <si>
    <t>九亭镇</t>
  </si>
  <si>
    <t>九里亭街道</t>
  </si>
  <si>
    <t>方松街道</t>
  </si>
  <si>
    <t>广富林街道</t>
  </si>
  <si>
    <t>川沙新镇</t>
  </si>
  <si>
    <t>祝桥镇</t>
  </si>
  <si>
    <t>老港镇</t>
  </si>
  <si>
    <t>泥城镇</t>
  </si>
  <si>
    <t>长征镇</t>
  </si>
  <si>
    <t>万里街道</t>
  </si>
  <si>
    <t>四川北路街道</t>
  </si>
  <si>
    <t>奉浦街道</t>
  </si>
  <si>
    <t>金海街道</t>
  </si>
  <si>
    <t>奉城镇</t>
  </si>
  <si>
    <t>头桥街道</t>
  </si>
  <si>
    <t>ln_access</t>
  </si>
  <si>
    <t>ln_access</t>
    <phoneticPr fontId="18" type="noConversion"/>
  </si>
  <si>
    <t>ln_access_5k</t>
  </si>
  <si>
    <t>ln_access_5k</t>
    <phoneticPr fontId="18" type="noConversion"/>
  </si>
  <si>
    <t>区间</t>
    <phoneticPr fontId="18" type="noConversion"/>
  </si>
  <si>
    <t>interval</t>
    <phoneticPr fontId="18" type="noConversion"/>
  </si>
  <si>
    <t>frequency</t>
    <phoneticPr fontId="18" type="noConversion"/>
  </si>
  <si>
    <t>2km最大出行距离</t>
    <phoneticPr fontId="18" type="noConversion"/>
  </si>
  <si>
    <t>5km最大出行距离</t>
    <phoneticPr fontId="18" type="noConversion"/>
  </si>
  <si>
    <t>delta</t>
    <phoneticPr fontId="18" type="noConversion"/>
  </si>
  <si>
    <t>rate</t>
    <phoneticPr fontId="18" type="noConversion"/>
  </si>
  <si>
    <t>access_2k</t>
    <phoneticPr fontId="18" type="noConversion"/>
  </si>
  <si>
    <t>变化量均值</t>
    <phoneticPr fontId="18" type="noConversion"/>
  </si>
  <si>
    <t>ln_pop_density</t>
    <phoneticPr fontId="18" type="noConversion"/>
  </si>
  <si>
    <t>roads_perc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</si>
</sst>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0.000_);[Red]\(0.000\)"/>
    <numFmt numFmtId="187" formatCode="0_);[Red]\(0\)"/>
  </numFmts>
  <fonts count="22"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8"/>
      <color rgb="FF006100"/>
      <name val="等线"/>
      <family val="2"/>
      <charset val="134"/>
      <scheme val="minor"/>
    </font>
    <font>
      <sz val="18"/>
      <color rgb="FF9C0006"/>
      <name val="等线"/>
      <family val="2"/>
      <charset val="134"/>
      <scheme val="minor"/>
    </font>
    <font>
      <sz val="18"/>
      <color rgb="FF9C5700"/>
      <name val="等线"/>
      <family val="2"/>
      <charset val="134"/>
      <scheme val="minor"/>
    </font>
    <font>
      <sz val="18"/>
      <color rgb="FF3F3F76"/>
      <name val="等线"/>
      <family val="2"/>
      <charset val="134"/>
      <scheme val="minor"/>
    </font>
    <font>
      <b/>
      <sz val="18"/>
      <color rgb="FF3F3F3F"/>
      <name val="等线"/>
      <family val="2"/>
      <charset val="134"/>
      <scheme val="minor"/>
    </font>
    <font>
      <b/>
      <sz val="18"/>
      <color rgb="FFFA7D00"/>
      <name val="等线"/>
      <family val="2"/>
      <charset val="134"/>
      <scheme val="minor"/>
    </font>
    <font>
      <sz val="18"/>
      <color rgb="FFFA7D00"/>
      <name val="等线"/>
      <family val="2"/>
      <charset val="134"/>
      <scheme val="minor"/>
    </font>
    <font>
      <b/>
      <sz val="18"/>
      <color theme="0"/>
      <name val="等线"/>
      <family val="2"/>
      <charset val="134"/>
      <scheme val="minor"/>
    </font>
    <font>
      <sz val="18"/>
      <color rgb="FFFF0000"/>
      <name val="等线"/>
      <family val="2"/>
      <charset val="134"/>
      <scheme val="minor"/>
    </font>
    <font>
      <i/>
      <sz val="18"/>
      <color rgb="FF7F7F7F"/>
      <name val="等线"/>
      <family val="2"/>
      <charset val="134"/>
      <scheme val="minor"/>
    </font>
    <font>
      <b/>
      <sz val="18"/>
      <color theme="1"/>
      <name val="等线"/>
      <family val="2"/>
      <charset val="134"/>
      <scheme val="minor"/>
    </font>
    <font>
      <sz val="18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0.5"/>
      <color theme="1"/>
      <name val="SimSun"/>
      <family val="3"/>
      <charset val="134"/>
    </font>
    <font>
      <sz val="18"/>
      <color theme="1"/>
      <name val="SimSun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185" fontId="19" fillId="0" borderId="0" xfId="0" applyNumberFormat="1" applyFont="1" applyAlignment="1">
      <alignment horizontal="left" vertical="center"/>
    </xf>
    <xf numFmtId="185" fontId="19" fillId="0" borderId="0" xfId="0" applyNumberFormat="1" applyFont="1">
      <alignment vertical="center"/>
    </xf>
    <xf numFmtId="185" fontId="0" fillId="0" borderId="0" xfId="0" applyNumberFormat="1">
      <alignment vertical="center"/>
    </xf>
    <xf numFmtId="187" fontId="19" fillId="0" borderId="0" xfId="0" applyNumberFormat="1" applyFont="1" applyAlignment="1">
      <alignment horizontal="left" vertical="center"/>
    </xf>
    <xf numFmtId="187" fontId="19" fillId="0" borderId="0" xfId="0" applyNumberFormat="1" applyFont="1">
      <alignment vertical="center"/>
    </xf>
    <xf numFmtId="18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eetMetadata" Target="metadata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pop!$N$2:$N$15</c:f>
              <c:numCache>
                <c:formatCode>General</c:formatCode>
                <c:ptCount val="14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</c:numCache>
            </c:numRef>
          </c:cat>
          <c:val>
            <c:numRef>
              <c:f>pop!$O$2:$O$14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16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9</c:v>
                </c:pt>
                <c:pt idx="7">
                  <c:v>13</c:v>
                </c:pt>
                <c:pt idx="8">
                  <c:v>12</c:v>
                </c:pt>
                <c:pt idx="9">
                  <c:v>31</c:v>
                </c:pt>
                <c:pt idx="10">
                  <c:v>37</c:v>
                </c:pt>
                <c:pt idx="11">
                  <c:v>16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138-8F08-639B0CED6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718927423"/>
        <c:axId val="718911103"/>
      </c:barChart>
      <c:catAx>
        <c:axId val="7189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11103"/>
        <c:crosses val="autoZero"/>
        <c:auto val="1"/>
        <c:lblAlgn val="ctr"/>
        <c:lblOffset val="100"/>
        <c:noMultiLvlLbl val="0"/>
      </c:catAx>
      <c:valAx>
        <c:axId val="7189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2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pop!$N$2:$N$15</c:f>
              <c:numCache>
                <c:formatCode>General</c:formatCode>
                <c:ptCount val="14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</c:numCache>
            </c:numRef>
          </c:cat>
          <c:val>
            <c:numRef>
              <c:f>pop!$O$2:$O$14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16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9</c:v>
                </c:pt>
                <c:pt idx="7">
                  <c:v>13</c:v>
                </c:pt>
                <c:pt idx="8">
                  <c:v>12</c:v>
                </c:pt>
                <c:pt idx="9">
                  <c:v>31</c:v>
                </c:pt>
                <c:pt idx="10">
                  <c:v>37</c:v>
                </c:pt>
                <c:pt idx="11">
                  <c:v>16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138-8F08-639B0CED6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718927423"/>
        <c:axId val="718911103"/>
      </c:barChart>
      <c:catAx>
        <c:axId val="71892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11103"/>
        <c:crosses val="autoZero"/>
        <c:auto val="1"/>
        <c:lblAlgn val="ctr"/>
        <c:lblOffset val="100"/>
        <c:noMultiLvlLbl val="0"/>
      </c:catAx>
      <c:valAx>
        <c:axId val="7189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2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6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r>
              <a:rPr lang="zh-CN" altLang="en-US"/>
              <a:t>不同最大出行距离下的绿地可达性对数直方图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6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ln_access!$P$2</c:f>
              <c:strCache>
                <c:ptCount val="1"/>
                <c:pt idx="0">
                  <c:v>2km最大出行距离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ln_access!$O$3:$O$21</c15:sqref>
                  </c15:fullRef>
                </c:ext>
              </c:extLst>
              <c:f>ln_access!$O$4:$O$21</c:f>
              <c:numCache>
                <c:formatCode>General</c:formatCode>
                <c:ptCount val="18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  <c:pt idx="16">
                  <c:v>4.5</c:v>
                </c:pt>
                <c:pt idx="17">
                  <c:v>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ln_access!$P$3:$P$21</c15:sqref>
                  </c15:fullRef>
                </c:ext>
              </c:extLst>
              <c:f>ln_access!$P$4:$P$21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19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F-46BE-9F5E-5AD99887AFA9}"/>
            </c:ext>
          </c:extLst>
        </c:ser>
        <c:ser>
          <c:idx val="1"/>
          <c:order val="1"/>
          <c:tx>
            <c:strRef>
              <c:f>ln_access!$Q$2</c:f>
              <c:strCache>
                <c:ptCount val="1"/>
                <c:pt idx="0">
                  <c:v>5km最大出行距离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ln_access!$O$3:$O$21</c15:sqref>
                  </c15:fullRef>
                </c:ext>
              </c:extLst>
              <c:f>ln_access!$O$4:$O$21</c:f>
              <c:numCache>
                <c:formatCode>General</c:formatCode>
                <c:ptCount val="18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  <c:pt idx="16">
                  <c:v>4.5</c:v>
                </c:pt>
                <c:pt idx="17">
                  <c:v>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ln_access!$Q$3:$Q$21</c15:sqref>
                  </c15:fullRef>
                </c:ext>
              </c:extLst>
              <c:f>ln_access!$Q$4:$Q$21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32</c:v>
                </c:pt>
                <c:pt idx="11">
                  <c:v>23</c:v>
                </c:pt>
                <c:pt idx="12">
                  <c:v>25</c:v>
                </c:pt>
                <c:pt idx="13">
                  <c:v>18</c:v>
                </c:pt>
                <c:pt idx="14">
                  <c:v>14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F-46BE-9F5E-5AD99887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881343"/>
        <c:axId val="718878463"/>
      </c:barChart>
      <c:catAx>
        <c:axId val="71888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78463"/>
        <c:crosses val="autoZero"/>
        <c:auto val="1"/>
        <c:lblAlgn val="ctr"/>
        <c:lblOffset val="100"/>
        <c:noMultiLvlLbl val="0"/>
      </c:catAx>
      <c:valAx>
        <c:axId val="71887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8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5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 algn="ctr">
        <a:defRPr lang="en-US" altLang="zh-CN" sz="1050" b="0" i="0" u="none" strike="noStrike" kern="1200" baseline="0%">
          <a:solidFill>
            <a:schemeClr val="tx1">
              <a:lumMod val="65%"/>
              <a:lumOff val="35%"/>
            </a:schemeClr>
          </a:solidFill>
          <a:latin typeface="Times New Roman" panose="02020603050405020304" pitchFamily="18" charset="0"/>
          <a:ea typeface="SimSun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6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r>
              <a:rPr lang="zh-CN" altLang="en-US"/>
              <a:t>不同最大出行距离下的绿地可达性对数直方图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6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ln_access!$P$2</c:f>
              <c:strCache>
                <c:ptCount val="1"/>
                <c:pt idx="0">
                  <c:v>2km最大出行距离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ln_access!$O$3:$O$19</c15:sqref>
                  </c15:fullRef>
                </c:ext>
              </c:extLst>
              <c:f>ln_access!$O$4:$O$19</c:f>
              <c:numCache>
                <c:formatCode>General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ln_access!$P$3:$P$19</c15:sqref>
                  </c15:fullRef>
                </c:ext>
              </c:extLst>
              <c:f>ln_access!$P$4:$P$19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19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1-4E57-BCC8-4C1A11D30515}"/>
            </c:ext>
          </c:extLst>
        </c:ser>
        <c:ser>
          <c:idx val="1"/>
          <c:order val="1"/>
          <c:tx>
            <c:strRef>
              <c:f>ln_access!$Q$2</c:f>
              <c:strCache>
                <c:ptCount val="1"/>
                <c:pt idx="0">
                  <c:v>5km最大出行距离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ln_access!$O$3:$O$19</c15:sqref>
                  </c15:fullRef>
                </c:ext>
              </c:extLst>
              <c:f>ln_access!$O$4:$O$19</c:f>
              <c:numCache>
                <c:formatCode>General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ln_access!$Q$3:$Q$19</c15:sqref>
                  </c15:fullRef>
                </c:ext>
              </c:extLst>
              <c:f>ln_access!$Q$4:$Q$19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32</c:v>
                </c:pt>
                <c:pt idx="11">
                  <c:v>23</c:v>
                </c:pt>
                <c:pt idx="12">
                  <c:v>25</c:v>
                </c:pt>
                <c:pt idx="13">
                  <c:v>18</c:v>
                </c:pt>
                <c:pt idx="14">
                  <c:v>14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1-4E57-BCC8-4C1A11D30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8881343"/>
        <c:axId val="718878463"/>
      </c:barChart>
      <c:catAx>
        <c:axId val="71888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78463"/>
        <c:crosses val="autoZero"/>
        <c:auto val="1"/>
        <c:lblAlgn val="ctr"/>
        <c:lblOffset val="100"/>
        <c:noMultiLvlLbl val="0"/>
      </c:catAx>
      <c:valAx>
        <c:axId val="71887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8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5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 algn="ctr">
        <a:defRPr lang="en-US" altLang="zh-CN" sz="1050" b="0" i="0" u="none" strike="noStrike" kern="1200" baseline="0%">
          <a:solidFill>
            <a:schemeClr val="tx1">
              <a:lumMod val="65%"/>
              <a:lumOff val="35%"/>
            </a:schemeClr>
          </a:solidFill>
          <a:latin typeface="Times New Roman" panose="02020603050405020304" pitchFamily="18" charset="0"/>
          <a:ea typeface="SimSun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CN" sz="126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r>
              <a:rPr lang="zh-CN" altLang="en-US"/>
              <a:t>不同最大出行距离下的绿地可达性对数直方图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26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ln_access!$P$2</c:f>
              <c:strCache>
                <c:ptCount val="1"/>
                <c:pt idx="0">
                  <c:v>2km最大出行距离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ln_access!$O$3:$O$19</c15:sqref>
                  </c15:fullRef>
                </c:ext>
              </c:extLst>
              <c:f>ln_access!$O$4:$O$19</c:f>
              <c:numCache>
                <c:formatCode>General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ln_access!$P$3:$P$19</c15:sqref>
                  </c15:fullRef>
                </c:ext>
              </c:extLst>
              <c:f>ln_access!$P$4:$P$19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19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59D-8823-AFFA48326F86}"/>
            </c:ext>
          </c:extLst>
        </c:ser>
        <c:ser>
          <c:idx val="1"/>
          <c:order val="1"/>
          <c:tx>
            <c:strRef>
              <c:f>ln_access!$Q$2</c:f>
              <c:strCache>
                <c:ptCount val="1"/>
                <c:pt idx="0">
                  <c:v>5km最大出行距离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ln_access!$O$3:$O$19</c15:sqref>
                  </c15:fullRef>
                </c:ext>
              </c:extLst>
              <c:f>ln_access!$O$4:$O$19</c:f>
              <c:numCache>
                <c:formatCode>General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ln_access!$Q$3:$Q$19</c15:sqref>
                  </c15:fullRef>
                </c:ext>
              </c:extLst>
              <c:f>ln_access!$Q$4:$Q$19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32</c:v>
                </c:pt>
                <c:pt idx="11">
                  <c:v>23</c:v>
                </c:pt>
                <c:pt idx="12">
                  <c:v>25</c:v>
                </c:pt>
                <c:pt idx="13">
                  <c:v>18</c:v>
                </c:pt>
                <c:pt idx="14">
                  <c:v>14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1-459D-8823-AFFA48326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18881343"/>
        <c:axId val="718878463"/>
        <c:axId val="770045343"/>
      </c:bar3DChart>
      <c:catAx>
        <c:axId val="71888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78463"/>
        <c:crosses val="autoZero"/>
        <c:auto val="1"/>
        <c:lblAlgn val="ctr"/>
        <c:lblOffset val="100"/>
        <c:noMultiLvlLbl val="0"/>
      </c:catAx>
      <c:valAx>
        <c:axId val="71887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881343"/>
        <c:crosses val="autoZero"/>
        <c:crossBetween val="between"/>
      </c:valAx>
      <c:serAx>
        <c:axId val="770045343"/>
        <c:scaling>
          <c:orientation val="minMax"/>
        </c:scaling>
        <c:delete val="1"/>
        <c:axPos val="b"/>
        <c:majorTickMark val="out"/>
        <c:minorTickMark val="none"/>
        <c:tickLblPos val="nextTo"/>
        <c:crossAx val="71887846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05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 algn="ctr">
        <a:defRPr lang="en-US" altLang="zh-CN" sz="1050" b="0" i="0" u="none" strike="noStrike" kern="1200" baseline="0%">
          <a:solidFill>
            <a:schemeClr val="tx1">
              <a:lumMod val="65%"/>
              <a:lumOff val="35%"/>
            </a:schemeClr>
          </a:solidFill>
          <a:latin typeface="Times New Roman" panose="02020603050405020304" pitchFamily="18" charset="0"/>
          <a:ea typeface="SimSun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altLang="zh-CN" sz="1400" b="0" i="0" u="none" strike="noStrike" kern="1200" spc="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r>
              <a:rPr lang="zh-CN" sz="1400"/>
              <a:t>不同最大出行距离下的绿地可达性对数对比图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1400" b="0" i="0" u="none" strike="noStrike" kern="1200" spc="0" baseline="0%">
              <a:solidFill>
                <a:sysClr val="windowText" lastClr="000000"/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compare!$L$1</c:f>
              <c:strCache>
                <c:ptCount val="1"/>
                <c:pt idx="0">
                  <c:v>2km最大出行距离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compare!$O$2:$O$19</c:f>
              <c:strCache>
                <c:ptCount val="18"/>
                <c:pt idx="0">
                  <c:v>     -3</c:v>
                </c:pt>
                <c:pt idx="1">
                  <c:v>          -2.5</c:v>
                </c:pt>
                <c:pt idx="2">
                  <c:v>          -2</c:v>
                </c:pt>
                <c:pt idx="3">
                  <c:v>          -1.5</c:v>
                </c:pt>
                <c:pt idx="4">
                  <c:v>          -1</c:v>
                </c:pt>
                <c:pt idx="5">
                  <c:v>          -0.5</c:v>
                </c:pt>
                <c:pt idx="6">
                  <c:v>          0</c:v>
                </c:pt>
                <c:pt idx="7">
                  <c:v>          0.5</c:v>
                </c:pt>
                <c:pt idx="8">
                  <c:v>          1</c:v>
                </c:pt>
                <c:pt idx="9">
                  <c:v>          1.5</c:v>
                </c:pt>
                <c:pt idx="10">
                  <c:v>          2</c:v>
                </c:pt>
                <c:pt idx="11">
                  <c:v>          2.5</c:v>
                </c:pt>
                <c:pt idx="12">
                  <c:v>          3</c:v>
                </c:pt>
                <c:pt idx="13">
                  <c:v>          3.5</c:v>
                </c:pt>
                <c:pt idx="14">
                  <c:v>          4</c:v>
                </c:pt>
                <c:pt idx="15">
                  <c:v>          4.5</c:v>
                </c:pt>
                <c:pt idx="16">
                  <c:v>          5</c:v>
                </c:pt>
                <c:pt idx="17">
                  <c:v>          5.5</c:v>
                </c:pt>
              </c:strCache>
            </c:strRef>
          </c:cat>
          <c:val>
            <c:numRef>
              <c:f>compare!$L$2:$L$19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19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7-4F60-BE65-C468ADC78369}"/>
            </c:ext>
          </c:extLst>
        </c:ser>
        <c:ser>
          <c:idx val="1"/>
          <c:order val="1"/>
          <c:tx>
            <c:strRef>
              <c:f>compare!$M$1</c:f>
              <c:strCache>
                <c:ptCount val="1"/>
                <c:pt idx="0">
                  <c:v>5km最大出行距离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compare!$O$2:$O$19</c:f>
              <c:strCache>
                <c:ptCount val="18"/>
                <c:pt idx="0">
                  <c:v>     -3</c:v>
                </c:pt>
                <c:pt idx="1">
                  <c:v>          -2.5</c:v>
                </c:pt>
                <c:pt idx="2">
                  <c:v>          -2</c:v>
                </c:pt>
                <c:pt idx="3">
                  <c:v>          -1.5</c:v>
                </c:pt>
                <c:pt idx="4">
                  <c:v>          -1</c:v>
                </c:pt>
                <c:pt idx="5">
                  <c:v>          -0.5</c:v>
                </c:pt>
                <c:pt idx="6">
                  <c:v>          0</c:v>
                </c:pt>
                <c:pt idx="7">
                  <c:v>          0.5</c:v>
                </c:pt>
                <c:pt idx="8">
                  <c:v>          1</c:v>
                </c:pt>
                <c:pt idx="9">
                  <c:v>          1.5</c:v>
                </c:pt>
                <c:pt idx="10">
                  <c:v>          2</c:v>
                </c:pt>
                <c:pt idx="11">
                  <c:v>          2.5</c:v>
                </c:pt>
                <c:pt idx="12">
                  <c:v>          3</c:v>
                </c:pt>
                <c:pt idx="13">
                  <c:v>          3.5</c:v>
                </c:pt>
                <c:pt idx="14">
                  <c:v>          4</c:v>
                </c:pt>
                <c:pt idx="15">
                  <c:v>          4.5</c:v>
                </c:pt>
                <c:pt idx="16">
                  <c:v>          5</c:v>
                </c:pt>
                <c:pt idx="17">
                  <c:v>          5.5</c:v>
                </c:pt>
              </c:strCache>
            </c:strRef>
          </c:cat>
          <c:val>
            <c:numRef>
              <c:f>compare!$M$2:$M$19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32</c:v>
                </c:pt>
                <c:pt idx="11">
                  <c:v>23</c:v>
                </c:pt>
                <c:pt idx="12">
                  <c:v>25</c:v>
                </c:pt>
                <c:pt idx="13">
                  <c:v>18</c:v>
                </c:pt>
                <c:pt idx="14">
                  <c:v>14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7-4F60-BE65-C468ADC7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7"/>
        <c:overlap val="42"/>
        <c:axId val="718920223"/>
        <c:axId val="718910623"/>
      </c:barChart>
      <c:lineChart>
        <c:grouping val="standard"/>
        <c:varyColors val="0"/>
        <c:ser>
          <c:idx val="2"/>
          <c:order val="2"/>
          <c:tx>
            <c:strRef>
              <c:f>compare!$N$1</c:f>
              <c:strCache>
                <c:ptCount val="1"/>
                <c:pt idx="0">
                  <c:v>变化量均值</c:v>
                </c:pt>
              </c:strCache>
            </c:strRef>
          </c:tx>
          <c:spPr>
            <a:ln w="28575" cap="rnd">
              <a:solidFill>
                <a:schemeClr val="accent6">
                  <a:lumMod val="75%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compare!$N$2:$N$19</c:f>
              <c:numCache>
                <c:formatCode>General</c:formatCode>
                <c:ptCount val="18"/>
                <c:pt idx="1">
                  <c:v>2.0751086565178563</c:v>
                </c:pt>
                <c:pt idx="2">
                  <c:v>2.1472912684677672</c:v>
                </c:pt>
                <c:pt idx="3">
                  <c:v>2.4156191030960237</c:v>
                </c:pt>
                <c:pt idx="4">
                  <c:v>2.1932851205948807</c:v>
                </c:pt>
                <c:pt idx="5">
                  <c:v>2.0659993219191062</c:v>
                </c:pt>
                <c:pt idx="6">
                  <c:v>2.197996051917313</c:v>
                </c:pt>
                <c:pt idx="7">
                  <c:v>2.1342827175250454</c:v>
                </c:pt>
                <c:pt idx="8">
                  <c:v>1.8334038367218564</c:v>
                </c:pt>
                <c:pt idx="9">
                  <c:v>1.7842397451909107</c:v>
                </c:pt>
                <c:pt idx="10">
                  <c:v>0.76197270858741095</c:v>
                </c:pt>
                <c:pt idx="11">
                  <c:v>1.4181458842514463</c:v>
                </c:pt>
                <c:pt idx="12">
                  <c:v>1.4231672409398648</c:v>
                </c:pt>
                <c:pt idx="13">
                  <c:v>0.33425195082866488</c:v>
                </c:pt>
                <c:pt idx="14">
                  <c:v>1.0492342361901752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07-4F60-BE65-C468ADC7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932703"/>
        <c:axId val="718925503"/>
      </c:lineChart>
      <c:catAx>
        <c:axId val="7189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10623"/>
        <c:crosses val="autoZero"/>
        <c:auto val="1"/>
        <c:lblAlgn val="ctr"/>
        <c:lblOffset val="100"/>
        <c:noMultiLvlLbl val="0"/>
      </c:catAx>
      <c:valAx>
        <c:axId val="7189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20223"/>
        <c:crosses val="autoZero"/>
        <c:crossBetween val="between"/>
      </c:valAx>
      <c:valAx>
        <c:axId val="718925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32703"/>
        <c:crosses val="max"/>
        <c:crossBetween val="between"/>
      </c:valAx>
      <c:catAx>
        <c:axId val="718932703"/>
        <c:scaling>
          <c:orientation val="minMax"/>
        </c:scaling>
        <c:delete val="1"/>
        <c:axPos val="b"/>
        <c:majorTickMark val="out"/>
        <c:minorTickMark val="none"/>
        <c:tickLblPos val="nextTo"/>
        <c:crossAx val="718925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1050" b="0" i="0" u="none" strike="noStrike" kern="1200" baseline="0%">
              <a:solidFill>
                <a:sysClr val="windowText" lastClr="000000"/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 algn="ctr">
        <a:defRPr lang="en-US" altLang="zh-CN" sz="1050" b="0" i="0" u="none" strike="noStrike" kern="1200" baseline="0%">
          <a:solidFill>
            <a:sysClr val="windowText" lastClr="000000"/>
          </a:solidFill>
          <a:latin typeface="Times New Roman" panose="02020603050405020304" pitchFamily="18" charset="0"/>
          <a:ea typeface="SimSun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compare!$L$1</c:f>
              <c:strCache>
                <c:ptCount val="1"/>
                <c:pt idx="0">
                  <c:v>2km最大出行距离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compare!$K$2:$K$19</c:f>
              <c:numCache>
                <c:formatCode>General</c:formatCode>
                <c:ptCount val="18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  <c:pt idx="16">
                  <c:v>5</c:v>
                </c:pt>
                <c:pt idx="17">
                  <c:v>5.5</c:v>
                </c:pt>
              </c:numCache>
            </c:numRef>
          </c:cat>
          <c:val>
            <c:numRef>
              <c:f>compare!$L$2:$L$19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19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9-4B6E-8070-CB76DFA30547}"/>
            </c:ext>
          </c:extLst>
        </c:ser>
        <c:ser>
          <c:idx val="1"/>
          <c:order val="1"/>
          <c:tx>
            <c:strRef>
              <c:f>compare!$M$1</c:f>
              <c:strCache>
                <c:ptCount val="1"/>
                <c:pt idx="0">
                  <c:v>5km最大出行距离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compare!$K$2:$K$19</c:f>
              <c:numCache>
                <c:formatCode>General</c:formatCode>
                <c:ptCount val="18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4</c:v>
                </c:pt>
                <c:pt idx="15">
                  <c:v>4.5</c:v>
                </c:pt>
                <c:pt idx="16">
                  <c:v>5</c:v>
                </c:pt>
                <c:pt idx="17">
                  <c:v>5.5</c:v>
                </c:pt>
              </c:numCache>
            </c:numRef>
          </c:cat>
          <c:val>
            <c:numRef>
              <c:f>compare!$M$2:$M$19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32</c:v>
                </c:pt>
                <c:pt idx="11">
                  <c:v>23</c:v>
                </c:pt>
                <c:pt idx="12">
                  <c:v>25</c:v>
                </c:pt>
                <c:pt idx="13">
                  <c:v>18</c:v>
                </c:pt>
                <c:pt idx="14">
                  <c:v>14</c:v>
                </c:pt>
                <c:pt idx="15">
                  <c:v>4</c:v>
                </c:pt>
                <c:pt idx="16">
                  <c:v>8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9-4B6E-8070-CB76DFA30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920223"/>
        <c:axId val="718910623"/>
      </c:barChart>
      <c:lineChart>
        <c:grouping val="standard"/>
        <c:varyColors val="0"/>
        <c:ser>
          <c:idx val="2"/>
          <c:order val="2"/>
          <c:tx>
            <c:strRef>
              <c:f>compare!$N$1</c:f>
              <c:strCache>
                <c:ptCount val="1"/>
                <c:pt idx="0">
                  <c:v>变化量均值</c:v>
                </c:pt>
              </c:strCache>
            </c:strRef>
          </c:tx>
          <c:spPr>
            <a:ln w="28575" cap="rnd">
              <a:solidFill>
                <a:schemeClr val="accent6">
                  <a:lumMod val="75%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compare!$N$2:$N$19</c:f>
              <c:numCache>
                <c:formatCode>General</c:formatCode>
                <c:ptCount val="18"/>
                <c:pt idx="1">
                  <c:v>2.0751086565178563</c:v>
                </c:pt>
                <c:pt idx="2">
                  <c:v>2.1472912684677672</c:v>
                </c:pt>
                <c:pt idx="3">
                  <c:v>2.4156191030960237</c:v>
                </c:pt>
                <c:pt idx="4">
                  <c:v>2.1932851205948807</c:v>
                </c:pt>
                <c:pt idx="5">
                  <c:v>2.0659993219191062</c:v>
                </c:pt>
                <c:pt idx="6">
                  <c:v>2.197996051917313</c:v>
                </c:pt>
                <c:pt idx="7">
                  <c:v>2.1342827175250454</c:v>
                </c:pt>
                <c:pt idx="8">
                  <c:v>1.8334038367218564</c:v>
                </c:pt>
                <c:pt idx="9">
                  <c:v>1.7842397451909107</c:v>
                </c:pt>
                <c:pt idx="10">
                  <c:v>0.76197270858741095</c:v>
                </c:pt>
                <c:pt idx="11">
                  <c:v>1.4181458842514463</c:v>
                </c:pt>
                <c:pt idx="12">
                  <c:v>1.4231672409398648</c:v>
                </c:pt>
                <c:pt idx="13">
                  <c:v>0.33425195082866488</c:v>
                </c:pt>
                <c:pt idx="14">
                  <c:v>1.0492342361901752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A9-4B6E-8070-CB76DFA30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932703"/>
        <c:axId val="718925503"/>
      </c:lineChart>
      <c:catAx>
        <c:axId val="7189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10623"/>
        <c:crosses val="autoZero"/>
        <c:auto val="1"/>
        <c:lblAlgn val="ctr"/>
        <c:lblOffset val="100"/>
        <c:noMultiLvlLbl val="0"/>
      </c:catAx>
      <c:valAx>
        <c:axId val="7189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20223"/>
        <c:crosses val="autoZero"/>
        <c:crossBetween val="between"/>
      </c:valAx>
      <c:valAx>
        <c:axId val="718925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1050" b="0" i="0" u="none" strike="noStrike" kern="1200" baseline="0%">
                <a:solidFill>
                  <a:sysClr val="windowText" lastClr="000000"/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+mn-cs"/>
              </a:defRPr>
            </a:pPr>
            <a:endParaRPr lang="zh-CN"/>
          </a:p>
        </c:txPr>
        <c:crossAx val="718932703"/>
        <c:crosses val="max"/>
        <c:crossBetween val="between"/>
      </c:valAx>
      <c:catAx>
        <c:axId val="718932703"/>
        <c:scaling>
          <c:orientation val="minMax"/>
        </c:scaling>
        <c:delete val="1"/>
        <c:axPos val="b"/>
        <c:majorTickMark val="out"/>
        <c:minorTickMark val="none"/>
        <c:tickLblPos val="nextTo"/>
        <c:crossAx val="718925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1050" b="0" i="0" u="none" strike="noStrike" kern="1200" baseline="0%">
              <a:solidFill>
                <a:sysClr val="windowText" lastClr="000000"/>
              </a:solidFill>
              <a:latin typeface="Times New Roman" panose="02020603050405020304" pitchFamily="18" charset="0"/>
              <a:ea typeface="SimSun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 algn="ctr">
        <a:defRPr lang="en-US" altLang="zh-CN" sz="1050" b="0" i="0" u="none" strike="noStrike" kern="1200" baseline="0%">
          <a:solidFill>
            <a:sysClr val="windowText" lastClr="000000"/>
          </a:solidFill>
          <a:latin typeface="Times New Roman" panose="02020603050405020304" pitchFamily="18" charset="0"/>
          <a:ea typeface="SimSun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708A943-5B78-4A33-926A-76B55D351E58}">
          <cx:tx>
            <cx:txData>
              <cx:f>_xlchart.v1.0</cx:f>
              <cx:v>roads_perc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BBDF80E8-CAE2-4059-83BE-36607E3DB776}">
          <cx:tx>
            <cx:txData>
              <cx:f>_xlchart.v1.2</cx:f>
              <cx:v>pop_density</cx:v>
            </cx:txData>
          </cx:tx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ckLabels/>
        <cx:numFmt formatCode="#,##0.00_);[红色](#,##0.00)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518A4B35-6642-4993-A4E9-CCAA4E90356F}"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  <cx:numFmt formatCode="#,##0_);[红色](#,##0)" sourceLinked="0"/>
        <cx:txPr>
          <a:bodyPr xmlns:a="http://schemas.openxmlformats.org/drawingml/2006/main" spcFirstLastPara="1" vertOverflow="ellipsis" horzOverflow="overflow" wrap="square" lIns="0" tIns="0" rIns="0" bIns="0" anchor="ctr" anchorCtr="1"/>
          <a:lstStyle xmlns:a="http://schemas.openxmlformats.org/drawingml/2006/main"/>
          <a:p xmlns:a="http://schemas.openxmlformats.org/drawingml/2006/main">
            <a:pPr algn="ctr" rtl="0">
              <a:defRPr/>
            </a:pPr>
            <a:endParaRPr lang="zh-CN" altLang="en-US" sz="9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  <a:ea typeface="等线" panose="02010600030101010101" pitchFamily="2" charset="-122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_xlchart.v1.8</cx:f>
      </cx:numDim>
    </cx:data>
  </cx:chartData>
  <cx:chart>
    <cx:title pos="t" align="ctr" overlay="0"/>
    <cx:plotArea>
      <cx:plotAreaRegion>
        <cx:series layoutId="boxWhisker" uniqueId="{67C3802D-47CD-4498-B822-1709329A3FC7}">
          <cx:tx>
            <cx:txData>
              <cx:f>_xlchart.v1.5</cx:f>
              <cx:v>access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9A3E7D3-E951-4B8D-8E91-51D4381E5231}">
          <cx:tx>
            <cx:txData>
              <cx:f>_xlchart.v1.7</cx:f>
              <cx:v>access_5k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4C1A659F-DEB8-4870-B3B0-9C938486219C}" formatIdx="0">
          <cx:tx>
            <cx:txData>
              <cx:f>_xlchart.v1.9</cx:f>
              <cx:v>access</cx:v>
            </cx:txData>
          </cx:tx>
          <cx:dataId val="0"/>
          <cx:layoutPr>
            <cx:binning intervalClosed="r">
              <cx:binCount val="200"/>
            </cx:binning>
          </cx:layoutPr>
        </cx:series>
        <cx:series layoutId="clusteredColumn" hidden="1" uniqueId="{20435F0A-8BCA-4EA6-A782-0BEB1991DF44}" formatIdx="1">
          <cx:tx>
            <cx:txData>
              <cx:f>_xlchart.v1.11</cx:f>
              <cx:v>access_5k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xmlns:a="http://schemas.openxmlformats.org/drawingml/2006/main" spcFirstLastPara="1" vertOverflow="ellipsis" horzOverflow="overflow" wrap="square" lIns="0" tIns="0" rIns="0" bIns="0" anchor="ctr" anchorCtr="1"/>
          <a:lstStyle xmlns:a="http://schemas.openxmlformats.org/drawingml/2006/main"/>
          <a:p xmlns:a="http://schemas.openxmlformats.org/drawingml/2006/main">
            <a:pPr algn="ctr" rtl="0">
              <a:defRPr/>
            </a:pPr>
            <a:endParaRPr lang="zh-CN" altLang="en-US" sz="9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  <a:ea typeface="等线" panose="02010600030101010101" pitchFamily="2" charset="-122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_xlchart.v1.22</cx:f>
      </cx:numDim>
    </cx:data>
  </cx:chartData>
  <cx:chart>
    <cx:title pos="t" align="ctr" overlay="0"/>
    <cx:plotArea>
      <cx:plotAreaRegion>
        <cx:series layoutId="boxWhisker" uniqueId="{9DD4FCA9-7345-49E3-B1FE-3924BF6ED19D}">
          <cx:tx>
            <cx:txData>
              <cx:f>_xlchart.v1.19</cx:f>
              <cx:v>ln_access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00EDB94-1086-47C0-83F4-635FF24C4045}">
          <cx:tx>
            <cx:txData>
              <cx:f>_xlchart.v1.21</cx:f>
              <cx:v>ln_access_5k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</cx:chartData>
  <cx:chart>
    <cx:title pos="t" align="ctr" overlay="0"/>
    <cx:plotArea>
      <cx:plotAreaRegion>
        <cx:series layoutId="clusteredColumn" uniqueId="{777E96ED-0251-40B4-AD02-7BC01CC0417F}" formatIdx="0">
          <cx:tx>
            <cx:txData>
              <cx:f>_xlchart.v1.14</cx:f>
              <cx:v>ln_access</cx:v>
            </cx:txData>
          </cx:tx>
          <cx:dataId val="0"/>
          <cx:layoutPr>
            <cx:binning intervalClosed="r"/>
          </cx:layoutPr>
        </cx:series>
        <cx:series layoutId="clusteredColumn" hidden="1" uniqueId="{35782C37-F1A3-4B99-B805-10093239EF63}" formatIdx="1">
          <cx:tx>
            <cx:txData>
              <cx:f>_xlchart.v1.16</cx:f>
              <cx:v>ln_access_5k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1">
      <cx:tx>
        <cx:rich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lvl="2"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Calibri" panose="020F0502020204030204"/>
                <a:ea typeface="等线" panose="02010600030101010101" pitchFamily="2" charset="-122"/>
                <a:cs typeface="Calibri" panose="020F0502020204030204" pitchFamily="34" charset="0"/>
              </a:defRPr>
            </a:pPr>
            <a:r>
              <a:rPr lang="en-AU" altLang="zh-CN" sz="2000" b="0" i="0" u="none" strike="noStrike" baseline="0%">
                <a:ln>
                  <a:noFill/>
                </a:ln>
                <a:solidFill>
                  <a:sysClr val="windowText" lastClr="000000">
                    <a:lumMod val="65%"/>
                    <a:lumOff val="35%"/>
                  </a:sys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Times New Roman" panose="02020603050405020304" pitchFamily="18" charset="0"/>
              </a:rPr>
              <a:t>2km</a:t>
            </a:r>
            <a:r>
              <a:rPr lang="zh-CN" altLang="en-US" sz="2000" b="0" i="0" u="none" strike="noStrike" baseline="0%">
                <a:ln>
                  <a:noFill/>
                </a:ln>
                <a:solidFill>
                  <a:sysClr val="windowText" lastClr="000000">
                    <a:lumMod val="65%"/>
                    <a:lumOff val="35%"/>
                  </a:sys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Times New Roman" panose="02020603050405020304" pitchFamily="18" charset="0"/>
              </a:rPr>
              <a:t>最大出行距离下的绿地可达性自然对数分布图</a:t>
            </a:r>
          </a:p>
        </cx:rich>
      </cx:tx>
    </cx:title>
    <cx:plotArea>
      <cx:plotAreaRegion>
        <cx:series layoutId="clusteredColumn" uniqueId="{264FC292-012F-4C47-983B-350CDD2EFA42}">
          <cx:dataId val="0"/>
          <cx:layoutPr>
            <cx:binning intervalClosed="r" underflow="auto" overflow="auto">
              <cx:binCount val="20"/>
            </cx:binning>
          </cx:layoutPr>
        </cx:series>
      </cx:plotAreaRegion>
      <cx:axis id="0">
        <cx:catScaling gapWidth="0.300000012"/>
        <cx:tickLabels/>
        <cx:numFmt formatCode="0.00_," sourceLinked="0"/>
        <cx:txPr>
          <a:bodyPr xmlns:a="http://schemas.openxmlformats.org/drawingml/2006/main" spcFirstLastPara="1" vertOverflow="ellipsis" horzOverflow="overflow" wrap="square" lIns="0" tIns="0" rIns="0" bIns="0" anchor="ctr" anchorCtr="1"/>
          <a:lstStyle xmlns:a="http://schemas.openxmlformats.org/drawingml/2006/main"/>
          <a:p xmlns:a="http://schemas.openxmlformats.org/drawingml/2006/main">
            <a:pPr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Calibri" panose="020F0502020204030204" pitchFamily="34" charset="0"/>
              </a:defRPr>
            </a:pPr>
            <a:endParaRPr lang="zh-CN" alt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Times New Roman" panose="02020603050405020304" pitchFamily="18" charset="0"/>
              <a:ea typeface="SimSun" panose="02010600030101010101" pitchFamily="2" charset="-122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Calibri" panose="020F0502020204030204"/>
                <a:ea typeface="等线" panose="02010600030101010101" pitchFamily="2" charset="-122"/>
                <a:cs typeface="Calibri" panose="020F0502020204030204" pitchFamily="34" charset="0"/>
              </a:defRPr>
            </a:pPr>
            <a:endParaRPr lang="zh-CN" alt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</cx:plotArea>
  </cx:chart>
</cx:chartSpace>
</file>

<file path=xl/charts/chartEx9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1">
      <cx:tx>
        <cx:rich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lvl="2"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Calibri" panose="020F0502020204030204"/>
                <a:ea typeface="等线" panose="02010600030101010101" pitchFamily="2" charset="-122"/>
                <a:cs typeface="Calibri" panose="020F0502020204030204" pitchFamily="34" charset="0"/>
              </a:defRPr>
            </a:pPr>
            <a:r>
              <a:rPr lang="en-AU" altLang="zh-CN" sz="2000" b="0" i="0" u="none" strike="noStrike" baseline="0%">
                <a:ln>
                  <a:noFill/>
                </a:ln>
                <a:solidFill>
                  <a:sysClr val="windowText" lastClr="000000">
                    <a:lumMod val="65%"/>
                    <a:lumOff val="35%"/>
                  </a:sys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Times New Roman" panose="02020603050405020304" pitchFamily="18" charset="0"/>
              </a:rPr>
              <a:t>5km</a:t>
            </a:r>
            <a:r>
              <a:rPr lang="zh-CN" altLang="en-US" sz="2000" b="0" i="0" u="none" strike="noStrike" baseline="0%" dirty="0">
                <a:ln>
                  <a:noFill/>
                </a:ln>
                <a:solidFill>
                  <a:sysClr val="windowText" lastClr="000000">
                    <a:lumMod val="65%"/>
                    <a:lumOff val="35%"/>
                  </a:sysClr>
                </a:solidFill>
                <a:latin typeface="Times New Roman" panose="02020603050405020304" pitchFamily="18" charset="0"/>
                <a:ea typeface="SimSun" panose="02010600030101010101" pitchFamily="2" charset="-122"/>
                <a:cs typeface="Times New Roman" panose="02020603050405020304" pitchFamily="18" charset="0"/>
              </a:rPr>
              <a:t>最大出行距离下的绿地可达性自然对数分布图</a:t>
            </a:r>
          </a:p>
        </cx:rich>
      </cx:tx>
    </cx:title>
    <cx:plotArea>
      <cx:plotAreaRegion>
        <cx:series layoutId="clusteredColumn" uniqueId="{E067B627-7359-45F5-A6FE-9905C5D758A1}">
          <cx:dataId val="0"/>
          <cx:layoutPr>
            <cx:binning intervalClosed="r" underflow="-3" overflow="3">
              <cx:binCount val="20"/>
            </cx:binning>
          </cx:layoutPr>
        </cx:series>
      </cx:plotAreaRegion>
      <cx:axis id="0">
        <cx:catScaling gapWidth="0.300000012"/>
        <cx:tickLabels/>
        <cx:numFmt formatCode="0.00_ ;[红色]-0.00 " sourceLinked="0"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Calibri" panose="020F0502020204030204"/>
                <a:ea typeface="等线" panose="02010600030101010101" pitchFamily="2" charset="-122"/>
                <a:cs typeface="Calibri" panose="020F0502020204030204" pitchFamily="34" charset="0"/>
              </a:defRPr>
            </a:pPr>
            <a:endParaRPr lang="zh-CN" alt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txPr>
          <a:bodyPr xmlns:a="http://schemas.openxmlformats.org/drawingml/2006/main" vertOverflow="overflow" horzOverflow="overflow" wrap="square" lIns="0" tIns="0" rIns="0" bIns="0"/>
          <a:lstStyle xmlns:a="http://schemas.openxmlformats.org/drawingml/2006/main"/>
          <a:p xmlns:a="http://schemas.openxmlformats.org/drawingml/2006/main">
            <a:pPr algn="ctr" rtl="0">
              <a:defRPr lang="zh-CN" altLang="en-US" sz="1400" b="0" i="0" u="none" strike="noStrike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Calibri" panose="020F0502020204030204"/>
                <a:ea typeface="等线" panose="02010600030101010101" pitchFamily="2" charset="-122"/>
                <a:cs typeface="Calibri" panose="020F0502020204030204" pitchFamily="34" charset="0"/>
              </a:defRPr>
            </a:pPr>
            <a:endParaRPr lang="zh-CN" alt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40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purl.oclc.org/ooxml/drawingml/main" id="40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1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7" Type="http://purl.oclc.org/ooxml/officeDocument/relationships/chart" Target="../charts/chart5.xml"/><Relationship Id="rId2" Type="http://schemas.microsoft.com/office/2014/relationships/chartEx" Target="../charts/chartEx7.xml"/><Relationship Id="rId1" Type="http://schemas.microsoft.com/office/2014/relationships/chartEx" Target="../charts/chartEx6.xml"/><Relationship Id="rId6" Type="http://purl.oclc.org/ooxml/officeDocument/relationships/chart" Target="../charts/chart4.xml"/><Relationship Id="rId5" Type="http://purl.oclc.org/ooxml/officeDocument/relationships/chart" Target="../charts/chart3.xml"/><Relationship Id="rId4" Type="http://schemas.microsoft.com/office/2014/relationships/chartEx" Target="../charts/chartEx9.xml"/></Relationships>
</file>

<file path=xl/drawings/_rels/drawing5.xml.rels><?xml version="1.0" encoding="UTF-8" standalone="yes"?>
<Relationships xmlns="http://schemas.openxmlformats.org/package/2006/relationships"><Relationship Id="rId2" Type="http://purl.oclc.org/ooxml/officeDocument/relationships/chart" Target="../charts/chart7.xml"/><Relationship Id="rId1" Type="http://purl.oclc.org/ooxml/officeDocument/relationships/chart" Target="../charts/chart6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968375</xdr:colOff>
      <xdr:row>4</xdr:row>
      <xdr:rowOff>41275</xdr:rowOff>
    </xdr:from>
    <xdr:to>
      <xdr:col>8</xdr:col>
      <xdr:colOff>206375</xdr:colOff>
      <xdr:row>13</xdr:row>
      <xdr:rowOff>212725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BEFB42E1-7B68-1FE9-E4B5-F5E7585C3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8775" y="1184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</xdr:col>
      <xdr:colOff>1</xdr:colOff>
      <xdr:row>4</xdr:row>
      <xdr:rowOff>41275</xdr:rowOff>
    </xdr:from>
    <xdr:to>
      <xdr:col>9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8D5C633-EC66-13FB-EA72-D2228CA61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1" y="1184275"/>
              <a:ext cx="7467599" cy="395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642472</xdr:colOff>
      <xdr:row>4</xdr:row>
      <xdr:rowOff>189539</xdr:rowOff>
    </xdr:from>
    <xdr:to>
      <xdr:col>9</xdr:col>
      <xdr:colOff>642472</xdr:colOff>
      <xdr:row>14</xdr:row>
      <xdr:rowOff>29882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5F62B2AE-5263-A2D1-9925-B8F6FEE6B5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9672" y="1332539"/>
              <a:ext cx="5334000" cy="26978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7470</xdr:colOff>
      <xdr:row>5</xdr:row>
      <xdr:rowOff>238312</xdr:rowOff>
    </xdr:from>
    <xdr:to>
      <xdr:col>12</xdr:col>
      <xdr:colOff>0</xdr:colOff>
      <xdr:row>15</xdr:row>
      <xdr:rowOff>142689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E869D1C-113A-6DBC-1429-0CA60226F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10</xdr:col>
      <xdr:colOff>7471</xdr:colOff>
      <xdr:row>10</xdr:row>
      <xdr:rowOff>1</xdr:rowOff>
    </xdr:from>
    <xdr:to>
      <xdr:col>15</xdr:col>
      <xdr:colOff>0</xdr:colOff>
      <xdr:row>19</xdr:row>
      <xdr:rowOff>89648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2F93228-D0FD-5E27-117B-EBF1DB218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7</xdr:col>
      <xdr:colOff>377825</xdr:colOff>
      <xdr:row>1</xdr:row>
      <xdr:rowOff>104775</xdr:rowOff>
    </xdr:from>
    <xdr:to>
      <xdr:col>11</xdr:col>
      <xdr:colOff>682625</xdr:colOff>
      <xdr:row>10</xdr:row>
      <xdr:rowOff>276225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2CD5C01D-F770-7A43-78DB-2F161458B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5425" y="390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</xdr:row>
      <xdr:rowOff>41275</xdr:rowOff>
    </xdr:from>
    <xdr:to>
      <xdr:col>9</xdr:col>
      <xdr:colOff>0</xdr:colOff>
      <xdr:row>13</xdr:row>
      <xdr:rowOff>212725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8949A2A1-521A-DC8D-DC17-12DAF2548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1184275"/>
              <a:ext cx="6400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8</xdr:col>
      <xdr:colOff>555625</xdr:colOff>
      <xdr:row>2</xdr:row>
      <xdr:rowOff>187325</xdr:rowOff>
    </xdr:from>
    <xdr:to>
      <xdr:col>12</xdr:col>
      <xdr:colOff>860425</xdr:colOff>
      <xdr:row>12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CF70D6FD-264F-B7D1-3F66-79DFC5DA1F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0025" y="758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1033318</xdr:colOff>
      <xdr:row>14</xdr:row>
      <xdr:rowOff>48491</xdr:rowOff>
    </xdr:from>
    <xdr:to>
      <xdr:col>5</xdr:col>
      <xdr:colOff>294409</xdr:colOff>
      <xdr:row>23</xdr:row>
      <xdr:rowOff>193964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0E2E87EC-BB50-C7D0-00C8-0131E13F3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318" y="4048991"/>
              <a:ext cx="4595091" cy="2717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8</xdr:col>
      <xdr:colOff>25563</xdr:colOff>
      <xdr:row>44</xdr:row>
      <xdr:rowOff>186789</xdr:rowOff>
    </xdr:from>
    <xdr:to>
      <xdr:col>30</xdr:col>
      <xdr:colOff>25813</xdr:colOff>
      <xdr:row>57</xdr:row>
      <xdr:rowOff>37403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67392EE3-B015-9E62-F0E9-D514E646B7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9963" y="12759789"/>
              <a:ext cx="23469850" cy="3565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8</xdr:col>
      <xdr:colOff>34634</xdr:colOff>
      <xdr:row>57</xdr:row>
      <xdr:rowOff>145142</xdr:rowOff>
    </xdr:from>
    <xdr:to>
      <xdr:col>30</xdr:col>
      <xdr:colOff>34884</xdr:colOff>
      <xdr:row>69</xdr:row>
      <xdr:rowOff>281506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1BC90BE3-AD35-AC41-257A-52D4B47FA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9034" y="16432892"/>
              <a:ext cx="23469850" cy="3565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17</xdr:col>
      <xdr:colOff>946830</xdr:colOff>
      <xdr:row>7</xdr:row>
      <xdr:rowOff>206829</xdr:rowOff>
    </xdr:from>
    <xdr:to>
      <xdr:col>23</xdr:col>
      <xdr:colOff>997857</xdr:colOff>
      <xdr:row>19</xdr:row>
      <xdr:rowOff>235857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CEAB729-7E5E-0EA2-D7FE-EB19A298C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24</xdr:col>
      <xdr:colOff>51026</xdr:colOff>
      <xdr:row>33</xdr:row>
      <xdr:rowOff>29028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682A7A5-E1E3-4908-BEC7-6303BE5F3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18</xdr:col>
      <xdr:colOff>0</xdr:colOff>
      <xdr:row>34</xdr:row>
      <xdr:rowOff>0</xdr:rowOff>
    </xdr:from>
    <xdr:to>
      <xdr:col>24</xdr:col>
      <xdr:colOff>51026</xdr:colOff>
      <xdr:row>46</xdr:row>
      <xdr:rowOff>29028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BBDC3098-BA4D-443E-8B71-A409AF6DA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2</xdr:col>
      <xdr:colOff>0</xdr:colOff>
      <xdr:row>6</xdr:row>
      <xdr:rowOff>141194</xdr:rowOff>
    </xdr:from>
    <xdr:to>
      <xdr:col>12</xdr:col>
      <xdr:colOff>0</xdr:colOff>
      <xdr:row>18</xdr:row>
      <xdr:rowOff>254000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89A2D2-B859-6460-F9E9-CBB7C2A99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194235</xdr:colOff>
      <xdr:row>23</xdr:row>
      <xdr:rowOff>0</xdr:rowOff>
    </xdr:from>
    <xdr:to>
      <xdr:col>9</xdr:col>
      <xdr:colOff>769470</xdr:colOff>
      <xdr:row>33</xdr:row>
      <xdr:rowOff>82176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C4CB2D2-8D62-4A9E-B4D2-42F589316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94DD-3DF6-4172-9B5F-891F94DDB425}">
  <dimension ref="A1:M199"/>
  <sheetViews>
    <sheetView zoomScale="70" zoomScaleNormal="70" workbookViewId="0">
      <selection sqref="A1:K1048576"/>
    </sheetView>
  </sheetViews>
  <sheetFormatPr defaultRowHeight="22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225</v>
      </c>
      <c r="M1" t="s">
        <v>227</v>
      </c>
    </row>
    <row r="2" spans="1:13">
      <c r="A2" t="s">
        <v>11</v>
      </c>
      <c r="B2" t="s">
        <v>12</v>
      </c>
      <c r="C2">
        <v>0.168453716</v>
      </c>
      <c r="D2">
        <v>181</v>
      </c>
      <c r="E2">
        <v>135.50195980000001</v>
      </c>
      <c r="F2">
        <v>14575</v>
      </c>
      <c r="G2">
        <v>1172.2437809999999</v>
      </c>
      <c r="H2">
        <v>201</v>
      </c>
      <c r="I2">
        <v>0.28815221499999999</v>
      </c>
      <c r="J2">
        <v>1.9738876729999999</v>
      </c>
      <c r="K2">
        <v>2.770583588</v>
      </c>
      <c r="L2">
        <f>LN(J2)</f>
        <v>0.680005036150091</v>
      </c>
      <c r="M2">
        <f>LN(K2)</f>
        <v>1.0190579795974457</v>
      </c>
    </row>
    <row r="3" spans="1:13">
      <c r="A3" t="s">
        <v>13</v>
      </c>
      <c r="B3" t="s">
        <v>12</v>
      </c>
      <c r="C3">
        <v>0.228179774</v>
      </c>
      <c r="D3">
        <v>654</v>
      </c>
      <c r="E3">
        <v>268.94471069999997</v>
      </c>
      <c r="F3">
        <v>14419</v>
      </c>
      <c r="G3">
        <v>992.30161559999999</v>
      </c>
      <c r="H3">
        <v>641</v>
      </c>
      <c r="I3">
        <v>0.272529403</v>
      </c>
      <c r="J3">
        <v>13.597248240000001</v>
      </c>
      <c r="K3">
        <v>77.859411059999999</v>
      </c>
      <c r="L3">
        <f t="shared" ref="L3:L66" si="0">LN(J3)</f>
        <v>2.6098674369753416</v>
      </c>
      <c r="M3">
        <f t="shared" ref="M3:M66" si="1">LN(K3)</f>
        <v>4.3549047780643102</v>
      </c>
    </row>
    <row r="4" spans="1:13">
      <c r="A4" t="s">
        <v>14</v>
      </c>
      <c r="B4" t="s">
        <v>12</v>
      </c>
      <c r="C4">
        <v>0.25159323500000003</v>
      </c>
      <c r="D4">
        <v>679</v>
      </c>
      <c r="E4">
        <v>583.35234539999999</v>
      </c>
      <c r="F4">
        <v>37658</v>
      </c>
      <c r="G4">
        <v>2727.5922220000002</v>
      </c>
      <c r="H4">
        <v>1334</v>
      </c>
      <c r="I4">
        <v>0.49944792399999999</v>
      </c>
      <c r="J4">
        <v>0.73360864199999998</v>
      </c>
      <c r="K4">
        <v>10.05108697</v>
      </c>
      <c r="L4">
        <f t="shared" si="0"/>
        <v>-0.30977957784754573</v>
      </c>
      <c r="M4">
        <f t="shared" si="1"/>
        <v>2.3076807848755281</v>
      </c>
    </row>
    <row r="5" spans="1:13">
      <c r="A5" t="s">
        <v>15</v>
      </c>
      <c r="B5" t="s">
        <v>12</v>
      </c>
      <c r="C5">
        <v>0.211549979</v>
      </c>
      <c r="D5">
        <v>633</v>
      </c>
      <c r="E5">
        <v>328.8120768</v>
      </c>
      <c r="F5">
        <v>11253</v>
      </c>
      <c r="G5">
        <v>1290.898848</v>
      </c>
      <c r="H5">
        <v>517</v>
      </c>
      <c r="I5">
        <v>0.37235197199999998</v>
      </c>
      <c r="J5">
        <v>0.97728331999999996</v>
      </c>
      <c r="K5">
        <v>1.6281955299999999</v>
      </c>
      <c r="L5">
        <f t="shared" si="0"/>
        <v>-2.2978679213673636E-2</v>
      </c>
      <c r="M5">
        <f t="shared" si="1"/>
        <v>0.48747236479099421</v>
      </c>
    </row>
    <row r="6" spans="1:13">
      <c r="A6" t="s">
        <v>16</v>
      </c>
      <c r="B6" t="s">
        <v>12</v>
      </c>
      <c r="C6">
        <v>0.19333484500000001</v>
      </c>
      <c r="D6">
        <v>451</v>
      </c>
      <c r="E6">
        <v>232.15952340000001</v>
      </c>
      <c r="F6">
        <v>43696</v>
      </c>
      <c r="G6">
        <v>1004.913227</v>
      </c>
      <c r="H6">
        <v>397</v>
      </c>
      <c r="I6">
        <v>0.40386074</v>
      </c>
      <c r="J6">
        <v>1.2034943250000001</v>
      </c>
      <c r="K6">
        <v>3.274719047</v>
      </c>
      <c r="L6">
        <f t="shared" si="0"/>
        <v>0.18522926281649441</v>
      </c>
      <c r="M6">
        <f t="shared" si="1"/>
        <v>1.1862320782317126</v>
      </c>
    </row>
    <row r="7" spans="1:13">
      <c r="A7" t="s">
        <v>17</v>
      </c>
      <c r="B7" t="s">
        <v>12</v>
      </c>
      <c r="C7">
        <v>0.22055339900000001</v>
      </c>
      <c r="D7">
        <v>683</v>
      </c>
      <c r="E7">
        <v>498.32355050000001</v>
      </c>
      <c r="F7">
        <v>53612</v>
      </c>
      <c r="G7">
        <v>2403.8183709999998</v>
      </c>
      <c r="H7">
        <v>946</v>
      </c>
      <c r="I7">
        <v>0.62867943199999998</v>
      </c>
      <c r="J7">
        <v>1.5770853920000001</v>
      </c>
      <c r="K7">
        <v>47.701450250000001</v>
      </c>
      <c r="L7">
        <f t="shared" si="0"/>
        <v>0.4555784548979363</v>
      </c>
      <c r="M7">
        <f t="shared" si="1"/>
        <v>3.864961800996058</v>
      </c>
    </row>
    <row r="8" spans="1:13">
      <c r="A8" t="s">
        <v>18</v>
      </c>
      <c r="B8" t="s">
        <v>12</v>
      </c>
      <c r="C8">
        <v>0.219412682</v>
      </c>
      <c r="D8">
        <v>1167</v>
      </c>
      <c r="E8">
        <v>723.34849110000005</v>
      </c>
      <c r="F8">
        <v>22811</v>
      </c>
      <c r="G8">
        <v>2170.5179450000001</v>
      </c>
      <c r="H8">
        <v>1979</v>
      </c>
      <c r="I8">
        <v>0.48253710599999999</v>
      </c>
      <c r="J8">
        <v>2.0172460270000001</v>
      </c>
      <c r="K8">
        <v>16.357661409999999</v>
      </c>
      <c r="L8">
        <f t="shared" si="0"/>
        <v>0.70173322823158868</v>
      </c>
      <c r="M8">
        <f t="shared" si="1"/>
        <v>2.7946963753578831</v>
      </c>
    </row>
    <row r="9" spans="1:13">
      <c r="A9" t="s">
        <v>19</v>
      </c>
      <c r="B9" t="s">
        <v>12</v>
      </c>
      <c r="C9">
        <v>0.215444617</v>
      </c>
      <c r="D9">
        <v>857</v>
      </c>
      <c r="E9">
        <v>303.15964439999999</v>
      </c>
      <c r="F9">
        <v>25722</v>
      </c>
      <c r="G9">
        <v>1134.4408860000001</v>
      </c>
      <c r="H9">
        <v>689</v>
      </c>
      <c r="I9">
        <v>0.34431446999999998</v>
      </c>
      <c r="J9">
        <v>2.8518785019999999</v>
      </c>
      <c r="K9">
        <v>15.814046599999999</v>
      </c>
      <c r="L9">
        <f t="shared" si="0"/>
        <v>1.0479779006628347</v>
      </c>
      <c r="M9">
        <f t="shared" si="1"/>
        <v>2.7608985704004327</v>
      </c>
    </row>
    <row r="10" spans="1:13">
      <c r="A10" t="s">
        <v>20</v>
      </c>
      <c r="B10" t="s">
        <v>12</v>
      </c>
      <c r="C10">
        <v>0.21213686000000001</v>
      </c>
      <c r="D10">
        <v>913</v>
      </c>
      <c r="E10">
        <v>443.68186539999999</v>
      </c>
      <c r="F10">
        <v>27644</v>
      </c>
      <c r="G10">
        <v>1478.4211299999999</v>
      </c>
      <c r="H10">
        <v>899</v>
      </c>
      <c r="I10">
        <v>0.43067957699999998</v>
      </c>
      <c r="J10">
        <v>1.1638149929999999</v>
      </c>
      <c r="K10">
        <v>8.7254830749999996</v>
      </c>
      <c r="L10">
        <f t="shared" si="0"/>
        <v>0.15170339595518145</v>
      </c>
      <c r="M10">
        <f t="shared" si="1"/>
        <v>2.166247833317986</v>
      </c>
    </row>
    <row r="11" spans="1:13">
      <c r="A11" t="s">
        <v>21</v>
      </c>
      <c r="B11" t="s">
        <v>12</v>
      </c>
      <c r="C11">
        <v>0.14065731000000001</v>
      </c>
      <c r="D11">
        <v>1469</v>
      </c>
      <c r="E11">
        <v>266.51474389999998</v>
      </c>
      <c r="F11">
        <v>21323</v>
      </c>
      <c r="G11">
        <v>348.97629749999999</v>
      </c>
      <c r="H11">
        <v>1417</v>
      </c>
      <c r="I11">
        <v>0.223414634</v>
      </c>
      <c r="J11">
        <v>9.3950768240000002</v>
      </c>
      <c r="K11">
        <v>75.596925690000006</v>
      </c>
      <c r="L11">
        <f t="shared" si="0"/>
        <v>2.2401858099474832</v>
      </c>
      <c r="M11">
        <f t="shared" si="1"/>
        <v>4.3254156168824336</v>
      </c>
    </row>
    <row r="12" spans="1:13">
      <c r="A12" t="s">
        <v>22</v>
      </c>
      <c r="B12" t="s">
        <v>23</v>
      </c>
      <c r="C12">
        <v>0.45608617299999998</v>
      </c>
      <c r="D12">
        <v>123</v>
      </c>
      <c r="E12">
        <v>322.6397207</v>
      </c>
      <c r="F12">
        <v>84555</v>
      </c>
      <c r="G12">
        <v>22083.154869999998</v>
      </c>
      <c r="H12">
        <v>220</v>
      </c>
      <c r="I12">
        <v>0.75346185600000004</v>
      </c>
      <c r="J12">
        <v>0.65974377100000003</v>
      </c>
      <c r="K12">
        <v>6.2058346259999997</v>
      </c>
      <c r="L12">
        <f t="shared" si="0"/>
        <v>-0.41590374509837097</v>
      </c>
      <c r="M12">
        <f t="shared" si="1"/>
        <v>1.8254899182331759</v>
      </c>
    </row>
    <row r="13" spans="1:13">
      <c r="A13" t="s">
        <v>24</v>
      </c>
      <c r="B13" t="s">
        <v>23</v>
      </c>
      <c r="C13">
        <v>0.54409904099999995</v>
      </c>
      <c r="D13">
        <v>107</v>
      </c>
      <c r="E13">
        <v>272.19710379999998</v>
      </c>
      <c r="F13">
        <v>82211</v>
      </c>
      <c r="G13">
        <v>36241.730380000001</v>
      </c>
      <c r="H13">
        <v>356</v>
      </c>
      <c r="I13">
        <v>0.87079932000000004</v>
      </c>
      <c r="J13">
        <v>0.19394234900000001</v>
      </c>
      <c r="K13">
        <v>1.214694894</v>
      </c>
      <c r="L13">
        <f t="shared" si="0"/>
        <v>-1.6401943341856864</v>
      </c>
      <c r="M13">
        <f t="shared" si="1"/>
        <v>0.19449292920821451</v>
      </c>
    </row>
    <row r="14" spans="1:13">
      <c r="A14" t="s">
        <v>25</v>
      </c>
      <c r="B14" t="s">
        <v>23</v>
      </c>
      <c r="C14">
        <v>0.60632591499999999</v>
      </c>
      <c r="D14">
        <v>82</v>
      </c>
      <c r="E14">
        <v>268.84750960000002</v>
      </c>
      <c r="F14">
        <v>77610</v>
      </c>
      <c r="G14">
        <v>40449.372530000001</v>
      </c>
      <c r="H14">
        <v>447</v>
      </c>
      <c r="I14">
        <v>0.88748596899999999</v>
      </c>
      <c r="J14">
        <v>0.88869907999999997</v>
      </c>
      <c r="K14">
        <v>15.27913579</v>
      </c>
      <c r="L14">
        <f t="shared" si="0"/>
        <v>-0.11799659345822765</v>
      </c>
      <c r="M14">
        <f t="shared" si="1"/>
        <v>2.7264882238928232</v>
      </c>
    </row>
    <row r="15" spans="1:13">
      <c r="A15" t="s">
        <v>26</v>
      </c>
      <c r="B15" t="s">
        <v>23</v>
      </c>
      <c r="C15">
        <v>0.47639817299999998</v>
      </c>
      <c r="D15">
        <v>96</v>
      </c>
      <c r="E15">
        <v>314.27992849999998</v>
      </c>
      <c r="F15">
        <v>76356</v>
      </c>
      <c r="G15">
        <v>34234.933810000002</v>
      </c>
      <c r="H15">
        <v>485</v>
      </c>
      <c r="I15">
        <v>0.82035206999999999</v>
      </c>
      <c r="J15">
        <v>1.3039440360000001</v>
      </c>
      <c r="K15">
        <v>15.483814150000001</v>
      </c>
      <c r="L15">
        <f t="shared" si="0"/>
        <v>0.26539354540557875</v>
      </c>
      <c r="M15">
        <f t="shared" si="1"/>
        <v>2.7397952299308912</v>
      </c>
    </row>
    <row r="16" spans="1:13">
      <c r="A16" t="s">
        <v>27</v>
      </c>
      <c r="B16" t="s">
        <v>28</v>
      </c>
      <c r="C16">
        <v>0.10650770499999999</v>
      </c>
      <c r="D16">
        <v>174</v>
      </c>
      <c r="E16">
        <v>93.976451080000004</v>
      </c>
      <c r="F16">
        <v>16428</v>
      </c>
      <c r="G16">
        <v>614.52580190000003</v>
      </c>
      <c r="H16">
        <v>276</v>
      </c>
      <c r="I16">
        <v>0.376562756</v>
      </c>
      <c r="J16">
        <v>0.67451679200000003</v>
      </c>
      <c r="K16">
        <v>56.07033534</v>
      </c>
      <c r="L16">
        <f t="shared" si="0"/>
        <v>-0.39375870816608177</v>
      </c>
      <c r="M16">
        <f t="shared" si="1"/>
        <v>4.0266068908560593</v>
      </c>
    </row>
    <row r="17" spans="1:13">
      <c r="A17" t="s">
        <v>29</v>
      </c>
      <c r="B17" t="s">
        <v>28</v>
      </c>
      <c r="C17">
        <v>0.24275382600000001</v>
      </c>
      <c r="D17">
        <v>498</v>
      </c>
      <c r="E17">
        <v>373.84758629999999</v>
      </c>
      <c r="F17">
        <v>43166</v>
      </c>
      <c r="G17">
        <v>2904.2490509999998</v>
      </c>
      <c r="H17">
        <v>636</v>
      </c>
      <c r="I17">
        <v>0.67339529099999995</v>
      </c>
      <c r="J17">
        <v>1.031344196</v>
      </c>
      <c r="K17">
        <v>9.3916066610000009</v>
      </c>
      <c r="L17">
        <f t="shared" si="0"/>
        <v>3.086299607112359E-2</v>
      </c>
      <c r="M17">
        <f t="shared" si="1"/>
        <v>2.2398163819915338</v>
      </c>
    </row>
    <row r="18" spans="1:13">
      <c r="A18" t="s">
        <v>30</v>
      </c>
      <c r="B18" t="s">
        <v>28</v>
      </c>
      <c r="C18">
        <v>0.24969312699999999</v>
      </c>
      <c r="D18">
        <v>391</v>
      </c>
      <c r="E18">
        <v>200.0773954</v>
      </c>
      <c r="F18">
        <v>22226</v>
      </c>
      <c r="G18">
        <v>2386.2635770000002</v>
      </c>
      <c r="H18">
        <v>595</v>
      </c>
      <c r="I18">
        <v>0.60784121899999999</v>
      </c>
      <c r="J18">
        <v>2.5533767570000001</v>
      </c>
      <c r="K18">
        <v>12.429830129999999</v>
      </c>
      <c r="L18">
        <f t="shared" si="0"/>
        <v>0.93741670159774215</v>
      </c>
      <c r="M18">
        <f t="shared" si="1"/>
        <v>2.5200992392989074</v>
      </c>
    </row>
    <row r="19" spans="1:13">
      <c r="A19" t="s">
        <v>31</v>
      </c>
      <c r="B19" t="s">
        <v>28</v>
      </c>
      <c r="C19">
        <v>0.122145189</v>
      </c>
      <c r="D19">
        <v>314</v>
      </c>
      <c r="E19">
        <v>126.96608089999999</v>
      </c>
      <c r="F19">
        <v>18874</v>
      </c>
      <c r="G19">
        <v>644.13505910000003</v>
      </c>
      <c r="H19">
        <v>433</v>
      </c>
      <c r="I19">
        <v>0.33581704800000001</v>
      </c>
      <c r="J19">
        <v>10.42603284</v>
      </c>
      <c r="K19">
        <v>15.024519850000001</v>
      </c>
      <c r="L19">
        <f t="shared" si="0"/>
        <v>2.3443058361587168</v>
      </c>
      <c r="M19">
        <f t="shared" si="1"/>
        <v>2.7096835231718752</v>
      </c>
    </row>
    <row r="20" spans="1:13">
      <c r="A20" t="s">
        <v>32</v>
      </c>
      <c r="B20" t="s">
        <v>28</v>
      </c>
      <c r="C20">
        <v>0.19657472000000001</v>
      </c>
      <c r="D20">
        <v>1528</v>
      </c>
      <c r="E20">
        <v>502.91064640000002</v>
      </c>
      <c r="F20">
        <v>28422</v>
      </c>
      <c r="G20">
        <v>1441.9021399999999</v>
      </c>
      <c r="H20">
        <v>2054</v>
      </c>
      <c r="I20">
        <v>0.62119392600000001</v>
      </c>
      <c r="J20">
        <v>1.8788655590000001</v>
      </c>
      <c r="K20">
        <v>24.780406580000001</v>
      </c>
      <c r="L20">
        <f t="shared" si="0"/>
        <v>0.63066816864324726</v>
      </c>
      <c r="M20">
        <f t="shared" si="1"/>
        <v>3.2100532836531568</v>
      </c>
    </row>
    <row r="21" spans="1:13">
      <c r="A21" t="s">
        <v>33</v>
      </c>
      <c r="B21" t="s">
        <v>28</v>
      </c>
      <c r="C21">
        <v>0.13796803999999999</v>
      </c>
      <c r="D21">
        <v>730</v>
      </c>
      <c r="E21">
        <v>137.86184510000001</v>
      </c>
      <c r="F21">
        <v>17924</v>
      </c>
      <c r="G21">
        <v>340.23302109999997</v>
      </c>
      <c r="H21">
        <v>1005</v>
      </c>
      <c r="I21">
        <v>0.40478421799999997</v>
      </c>
      <c r="J21">
        <v>8.0873899859999998</v>
      </c>
      <c r="K21">
        <v>40.170643650000002</v>
      </c>
      <c r="L21">
        <f t="shared" si="0"/>
        <v>2.0903060567669551</v>
      </c>
      <c r="M21">
        <f t="shared" si="1"/>
        <v>3.693136471394427</v>
      </c>
    </row>
    <row r="22" spans="1:13">
      <c r="A22" t="s">
        <v>34</v>
      </c>
      <c r="B22" t="s">
        <v>28</v>
      </c>
      <c r="C22">
        <v>0.28280044500000001</v>
      </c>
      <c r="D22">
        <v>313</v>
      </c>
      <c r="E22">
        <v>313.67474959999998</v>
      </c>
      <c r="F22">
        <v>27828</v>
      </c>
      <c r="G22">
        <v>4324.7017900000001</v>
      </c>
      <c r="H22">
        <v>489</v>
      </c>
      <c r="I22">
        <v>0.62907376800000003</v>
      </c>
      <c r="J22">
        <v>0.78200761299999999</v>
      </c>
      <c r="K22">
        <v>17.669845890000001</v>
      </c>
      <c r="L22">
        <f t="shared" si="0"/>
        <v>-0.24589080319009601</v>
      </c>
      <c r="M22">
        <f t="shared" si="1"/>
        <v>2.8718595647316025</v>
      </c>
    </row>
    <row r="23" spans="1:13">
      <c r="A23" t="s">
        <v>35</v>
      </c>
      <c r="B23" t="s">
        <v>28</v>
      </c>
      <c r="C23">
        <v>0.22737278699999999</v>
      </c>
      <c r="D23">
        <v>608</v>
      </c>
      <c r="E23">
        <v>406.70930429999999</v>
      </c>
      <c r="F23">
        <v>29947</v>
      </c>
      <c r="G23">
        <v>2480.193385</v>
      </c>
      <c r="H23">
        <v>1819</v>
      </c>
      <c r="I23">
        <v>0.69835525200000004</v>
      </c>
      <c r="J23">
        <v>1.657906839</v>
      </c>
      <c r="K23">
        <v>19.33608941</v>
      </c>
      <c r="L23">
        <f t="shared" si="0"/>
        <v>0.50555586635278982</v>
      </c>
      <c r="M23">
        <f t="shared" si="1"/>
        <v>2.9619732674078683</v>
      </c>
    </row>
    <row r="24" spans="1:13">
      <c r="A24" t="s">
        <v>36</v>
      </c>
      <c r="B24" t="s">
        <v>28</v>
      </c>
      <c r="C24">
        <v>0.38753025699999999</v>
      </c>
      <c r="D24">
        <v>121</v>
      </c>
      <c r="E24">
        <v>472.24281050000002</v>
      </c>
      <c r="F24">
        <v>41044</v>
      </c>
      <c r="G24">
        <v>23616.043959999999</v>
      </c>
      <c r="H24">
        <v>432</v>
      </c>
      <c r="I24">
        <v>0.81318866400000001</v>
      </c>
      <c r="J24">
        <v>2.21163636</v>
      </c>
      <c r="K24">
        <v>10.25251145</v>
      </c>
      <c r="L24">
        <f t="shared" si="0"/>
        <v>0.79373267593249697</v>
      </c>
      <c r="M24">
        <f t="shared" si="1"/>
        <v>2.3275226950842338</v>
      </c>
    </row>
    <row r="25" spans="1:13">
      <c r="A25" t="s">
        <v>37</v>
      </c>
      <c r="B25" t="s">
        <v>28</v>
      </c>
      <c r="C25">
        <v>0.20886318200000001</v>
      </c>
      <c r="D25">
        <v>648</v>
      </c>
      <c r="E25">
        <v>401.33313029999999</v>
      </c>
      <c r="F25">
        <v>43644</v>
      </c>
      <c r="G25">
        <v>1818.957658</v>
      </c>
      <c r="H25">
        <v>783</v>
      </c>
      <c r="I25">
        <v>0.53748670399999998</v>
      </c>
      <c r="J25">
        <v>1.2056724539999999</v>
      </c>
      <c r="K25">
        <v>14.562459479999999</v>
      </c>
      <c r="L25">
        <f t="shared" si="0"/>
        <v>0.18703746440091951</v>
      </c>
      <c r="M25">
        <f t="shared" si="1"/>
        <v>2.6784469488327778</v>
      </c>
    </row>
    <row r="26" spans="1:13">
      <c r="A26" t="s">
        <v>38</v>
      </c>
      <c r="B26" t="s">
        <v>39</v>
      </c>
      <c r="C26">
        <v>0.20308322600000001</v>
      </c>
      <c r="D26">
        <v>930</v>
      </c>
      <c r="E26">
        <v>192.3303976</v>
      </c>
      <c r="F26">
        <v>14807</v>
      </c>
      <c r="G26">
        <v>893.20997920000002</v>
      </c>
      <c r="H26">
        <v>572</v>
      </c>
      <c r="I26">
        <v>0.30322788299999998</v>
      </c>
      <c r="J26">
        <v>1.7494747289999999</v>
      </c>
      <c r="K26">
        <v>20.49573182</v>
      </c>
      <c r="L26">
        <f t="shared" si="0"/>
        <v>0.55931558802279469</v>
      </c>
      <c r="M26">
        <f t="shared" si="1"/>
        <v>3.0202166605644822</v>
      </c>
    </row>
    <row r="27" spans="1:13">
      <c r="A27" t="s">
        <v>40</v>
      </c>
      <c r="B27" t="s">
        <v>39</v>
      </c>
      <c r="C27">
        <v>0.17102551899999999</v>
      </c>
      <c r="D27">
        <v>686</v>
      </c>
      <c r="E27">
        <v>135.8232174</v>
      </c>
      <c r="F27">
        <v>10727</v>
      </c>
      <c r="G27">
        <v>662.23369149999996</v>
      </c>
      <c r="H27">
        <v>533</v>
      </c>
      <c r="I27">
        <v>0.19581685500000001</v>
      </c>
      <c r="J27">
        <v>4.6910669230000002</v>
      </c>
      <c r="K27">
        <v>6.7635106360000004</v>
      </c>
      <c r="L27">
        <f t="shared" si="0"/>
        <v>1.545660045499089</v>
      </c>
      <c r="M27">
        <f t="shared" si="1"/>
        <v>1.9115420801044616</v>
      </c>
    </row>
    <row r="28" spans="1:13">
      <c r="A28" t="s">
        <v>41</v>
      </c>
      <c r="B28" t="s">
        <v>39</v>
      </c>
      <c r="C28">
        <v>0.16445441399999999</v>
      </c>
      <c r="D28">
        <v>1065</v>
      </c>
      <c r="E28">
        <v>164.23616559999999</v>
      </c>
      <c r="F28">
        <v>10016</v>
      </c>
      <c r="G28">
        <v>547.42107399999998</v>
      </c>
      <c r="H28">
        <v>1038</v>
      </c>
      <c r="I28">
        <v>0.29900858499999999</v>
      </c>
      <c r="J28">
        <v>17.498248579999998</v>
      </c>
      <c r="K28">
        <v>35.035717740000003</v>
      </c>
      <c r="L28">
        <f t="shared" si="0"/>
        <v>2.8621007947781596</v>
      </c>
      <c r="M28">
        <f t="shared" si="1"/>
        <v>3.5563680479834265</v>
      </c>
    </row>
    <row r="29" spans="1:13">
      <c r="A29" t="s">
        <v>42</v>
      </c>
      <c r="B29" t="s">
        <v>39</v>
      </c>
      <c r="C29">
        <v>0.115826463</v>
      </c>
      <c r="D29">
        <v>687</v>
      </c>
      <c r="E29">
        <v>43.457527429999999</v>
      </c>
      <c r="F29">
        <v>17109</v>
      </c>
      <c r="G29">
        <v>137.12920109999999</v>
      </c>
      <c r="H29">
        <v>912</v>
      </c>
      <c r="I29">
        <v>0.20549266199999999</v>
      </c>
      <c r="J29">
        <v>18.970607189999999</v>
      </c>
      <c r="K29">
        <v>186.87583269999999</v>
      </c>
      <c r="L29">
        <f t="shared" si="0"/>
        <v>2.9428907913419025</v>
      </c>
      <c r="M29">
        <f t="shared" si="1"/>
        <v>5.2304444000547559</v>
      </c>
    </row>
    <row r="30" spans="1:13">
      <c r="A30" t="s">
        <v>43</v>
      </c>
      <c r="B30" t="s">
        <v>39</v>
      </c>
      <c r="C30">
        <v>0.23728640400000001</v>
      </c>
      <c r="D30">
        <v>1342</v>
      </c>
      <c r="E30">
        <v>202.18108530000001</v>
      </c>
      <c r="F30">
        <v>21526</v>
      </c>
      <c r="G30">
        <v>944.2073044</v>
      </c>
      <c r="H30">
        <v>713</v>
      </c>
      <c r="I30">
        <v>0.30690768600000001</v>
      </c>
      <c r="J30">
        <v>6.7391533709999996</v>
      </c>
      <c r="K30">
        <v>27.978315469999998</v>
      </c>
      <c r="L30">
        <f t="shared" si="0"/>
        <v>1.9079343044230148</v>
      </c>
      <c r="M30">
        <f t="shared" si="1"/>
        <v>3.3314297626358189</v>
      </c>
    </row>
    <row r="31" spans="1:13">
      <c r="A31" t="s">
        <v>44</v>
      </c>
      <c r="B31" t="s">
        <v>39</v>
      </c>
      <c r="C31">
        <v>0.20200159100000001</v>
      </c>
      <c r="D31">
        <v>1129</v>
      </c>
      <c r="E31">
        <v>165.14509659999999</v>
      </c>
      <c r="F31">
        <v>17976</v>
      </c>
      <c r="G31">
        <v>765.46945619999997</v>
      </c>
      <c r="H31">
        <v>639</v>
      </c>
      <c r="I31">
        <v>0.29203587800000003</v>
      </c>
      <c r="J31">
        <v>11.560508110000001</v>
      </c>
      <c r="K31">
        <v>106.3233786</v>
      </c>
      <c r="L31">
        <f t="shared" si="0"/>
        <v>2.447594816430525</v>
      </c>
      <c r="M31">
        <f t="shared" si="1"/>
        <v>4.6664851915524608</v>
      </c>
    </row>
    <row r="32" spans="1:13">
      <c r="A32" t="s">
        <v>45</v>
      </c>
      <c r="B32" t="s">
        <v>46</v>
      </c>
      <c r="C32">
        <v>0.28408404599999998</v>
      </c>
      <c r="D32">
        <v>129</v>
      </c>
      <c r="E32">
        <v>128.75427880000001</v>
      </c>
      <c r="F32">
        <v>34543</v>
      </c>
      <c r="G32">
        <v>13248.05645</v>
      </c>
      <c r="H32">
        <v>335</v>
      </c>
      <c r="I32">
        <v>0.74156074199999999</v>
      </c>
      <c r="J32">
        <v>0.830660591</v>
      </c>
      <c r="K32">
        <v>9.7150933229999996</v>
      </c>
      <c r="L32">
        <f t="shared" si="0"/>
        <v>-0.18553400197510936</v>
      </c>
      <c r="M32">
        <f t="shared" si="1"/>
        <v>2.2736806888563481</v>
      </c>
    </row>
    <row r="33" spans="1:13">
      <c r="A33" t="s">
        <v>47</v>
      </c>
      <c r="B33" t="s">
        <v>46</v>
      </c>
      <c r="C33">
        <v>0.29665385599999999</v>
      </c>
      <c r="D33">
        <v>171</v>
      </c>
      <c r="E33">
        <v>87.099437640000005</v>
      </c>
      <c r="F33">
        <v>37273</v>
      </c>
      <c r="G33">
        <v>9956.7481179999995</v>
      </c>
      <c r="H33">
        <v>232</v>
      </c>
      <c r="I33">
        <v>0.69518413499999998</v>
      </c>
      <c r="J33">
        <v>1.982333506</v>
      </c>
      <c r="K33">
        <v>17.325865010000001</v>
      </c>
      <c r="L33">
        <f t="shared" si="0"/>
        <v>0.68427468915908407</v>
      </c>
      <c r="M33">
        <f t="shared" si="1"/>
        <v>2.8522004722567131</v>
      </c>
    </row>
    <row r="34" spans="1:13">
      <c r="A34" t="s">
        <v>48</v>
      </c>
      <c r="B34" t="s">
        <v>46</v>
      </c>
      <c r="C34">
        <v>0.224040875</v>
      </c>
      <c r="D34">
        <v>708</v>
      </c>
      <c r="E34">
        <v>372.20473340000001</v>
      </c>
      <c r="F34">
        <v>41873</v>
      </c>
      <c r="G34">
        <v>10221.618570000001</v>
      </c>
      <c r="H34">
        <v>1045</v>
      </c>
      <c r="I34">
        <v>0.75492099300000004</v>
      </c>
      <c r="J34">
        <v>1.6634051809999999</v>
      </c>
      <c r="K34">
        <v>5.8757279220000003</v>
      </c>
      <c r="L34">
        <f t="shared" si="0"/>
        <v>0.50886681515242083</v>
      </c>
      <c r="M34">
        <f t="shared" si="1"/>
        <v>1.7708299539720727</v>
      </c>
    </row>
    <row r="35" spans="1:13">
      <c r="A35" t="s">
        <v>49</v>
      </c>
      <c r="B35" t="s">
        <v>46</v>
      </c>
      <c r="C35">
        <v>0.28270687500000002</v>
      </c>
      <c r="D35">
        <v>108</v>
      </c>
      <c r="E35">
        <v>97.815433060000004</v>
      </c>
      <c r="F35">
        <v>45015</v>
      </c>
      <c r="G35">
        <v>16627.1538</v>
      </c>
      <c r="H35">
        <v>219</v>
      </c>
      <c r="I35">
        <v>0.82120633300000001</v>
      </c>
      <c r="J35">
        <v>1.0172188200000001</v>
      </c>
      <c r="K35">
        <v>3.8080858210000001</v>
      </c>
      <c r="L35">
        <f t="shared" si="0"/>
        <v>1.7072256164235477E-2</v>
      </c>
      <c r="M35">
        <f t="shared" si="1"/>
        <v>1.3371266537024749</v>
      </c>
    </row>
    <row r="36" spans="1:13">
      <c r="A36" t="s">
        <v>50</v>
      </c>
      <c r="B36" t="s">
        <v>46</v>
      </c>
      <c r="C36">
        <v>0.20481271500000001</v>
      </c>
      <c r="D36">
        <v>34</v>
      </c>
      <c r="E36">
        <v>143.8483664</v>
      </c>
      <c r="F36">
        <v>32583</v>
      </c>
      <c r="G36">
        <v>30635.219489999999</v>
      </c>
      <c r="H36">
        <v>206</v>
      </c>
      <c r="I36">
        <v>0.85801495000000005</v>
      </c>
      <c r="J36">
        <v>0.92126009399999997</v>
      </c>
      <c r="K36">
        <v>3.701959741</v>
      </c>
      <c r="L36">
        <f t="shared" si="0"/>
        <v>-8.2012878686513468E-2</v>
      </c>
      <c r="M36">
        <f t="shared" si="1"/>
        <v>1.3088623391597043</v>
      </c>
    </row>
    <row r="37" spans="1:13">
      <c r="A37" t="s">
        <v>51</v>
      </c>
      <c r="B37" t="s">
        <v>46</v>
      </c>
      <c r="C37">
        <v>0.15025588100000001</v>
      </c>
      <c r="D37">
        <v>361</v>
      </c>
      <c r="E37">
        <v>161.7424652</v>
      </c>
      <c r="F37">
        <v>25791</v>
      </c>
      <c r="G37">
        <v>3457.1997270000002</v>
      </c>
      <c r="H37">
        <v>881</v>
      </c>
      <c r="I37">
        <v>0.72626871100000001</v>
      </c>
      <c r="J37">
        <v>0.94212887000000001</v>
      </c>
      <c r="K37">
        <v>3.0297135050000001</v>
      </c>
      <c r="L37">
        <f t="shared" si="0"/>
        <v>-5.9613209091766657E-2</v>
      </c>
      <c r="M37">
        <f t="shared" si="1"/>
        <v>1.1084680622455989</v>
      </c>
    </row>
    <row r="38" spans="1:13">
      <c r="A38" t="s">
        <v>52</v>
      </c>
      <c r="B38" t="s">
        <v>46</v>
      </c>
      <c r="C38">
        <v>0.19062760100000001</v>
      </c>
      <c r="D38">
        <v>499</v>
      </c>
      <c r="E38">
        <v>240.1752481</v>
      </c>
      <c r="F38">
        <v>36944</v>
      </c>
      <c r="G38">
        <v>6179.2186840000004</v>
      </c>
      <c r="H38">
        <v>1082</v>
      </c>
      <c r="I38">
        <v>0.76566928499999998</v>
      </c>
      <c r="J38">
        <v>2.305873917</v>
      </c>
      <c r="K38">
        <v>12.12944755</v>
      </c>
      <c r="L38">
        <f t="shared" si="0"/>
        <v>0.8354597442896311</v>
      </c>
      <c r="M38">
        <f t="shared" si="1"/>
        <v>2.495636177813271</v>
      </c>
    </row>
    <row r="39" spans="1:13">
      <c r="A39" t="s">
        <v>53</v>
      </c>
      <c r="B39" t="s">
        <v>46</v>
      </c>
      <c r="C39">
        <v>0.209638982</v>
      </c>
      <c r="D39">
        <v>257</v>
      </c>
      <c r="E39">
        <v>128.1669258</v>
      </c>
      <c r="F39">
        <v>38132</v>
      </c>
      <c r="G39">
        <v>9196.6597309999997</v>
      </c>
      <c r="H39">
        <v>613</v>
      </c>
      <c r="I39">
        <v>0.82186251300000002</v>
      </c>
      <c r="J39">
        <v>0.81636553700000003</v>
      </c>
      <c r="K39">
        <v>4.1933788710000002</v>
      </c>
      <c r="L39">
        <f t="shared" si="0"/>
        <v>-0.20289306231325308</v>
      </c>
      <c r="M39">
        <f t="shared" si="1"/>
        <v>1.4335068220841711</v>
      </c>
    </row>
    <row r="40" spans="1:13">
      <c r="A40" t="s">
        <v>54</v>
      </c>
      <c r="B40" t="s">
        <v>46</v>
      </c>
      <c r="C40">
        <v>0.200587287</v>
      </c>
      <c r="D40">
        <v>542</v>
      </c>
      <c r="E40">
        <v>215.85568409999999</v>
      </c>
      <c r="F40">
        <v>32850</v>
      </c>
      <c r="G40">
        <v>4954.2407730000004</v>
      </c>
      <c r="H40">
        <v>571</v>
      </c>
      <c r="I40">
        <v>0.54555561699999999</v>
      </c>
      <c r="J40">
        <v>1.0844195919999999</v>
      </c>
      <c r="K40">
        <v>6.9970746129999997</v>
      </c>
      <c r="L40">
        <f t="shared" si="0"/>
        <v>8.1044905613063573E-2</v>
      </c>
      <c r="M40">
        <f t="shared" si="1"/>
        <v>1.9454921492770056</v>
      </c>
    </row>
    <row r="41" spans="1:13">
      <c r="A41" t="s">
        <v>55</v>
      </c>
      <c r="B41" t="s">
        <v>46</v>
      </c>
      <c r="C41">
        <v>0.17700149800000001</v>
      </c>
      <c r="D41">
        <v>445</v>
      </c>
      <c r="E41">
        <v>74.676478200000005</v>
      </c>
      <c r="F41">
        <v>18594</v>
      </c>
      <c r="G41">
        <v>1864.1496520000001</v>
      </c>
      <c r="H41">
        <v>273</v>
      </c>
      <c r="I41">
        <v>0.44922020600000001</v>
      </c>
      <c r="J41">
        <v>3.3109645040000002</v>
      </c>
      <c r="K41">
        <v>8.3109820800000005</v>
      </c>
      <c r="L41">
        <f t="shared" si="0"/>
        <v>1.1972395378794338</v>
      </c>
      <c r="M41">
        <f t="shared" si="1"/>
        <v>2.1175777823900064</v>
      </c>
    </row>
    <row r="42" spans="1:13">
      <c r="A42" t="s">
        <v>56</v>
      </c>
      <c r="B42" t="s">
        <v>46</v>
      </c>
      <c r="C42">
        <v>0.20303921</v>
      </c>
      <c r="D42">
        <v>571</v>
      </c>
      <c r="E42">
        <v>331.75608119999998</v>
      </c>
      <c r="F42">
        <v>32691</v>
      </c>
      <c r="G42">
        <v>8079.7267279999996</v>
      </c>
      <c r="H42">
        <v>849</v>
      </c>
      <c r="I42">
        <v>0.61670978300000001</v>
      </c>
      <c r="J42">
        <v>3.3829036819999998</v>
      </c>
      <c r="K42">
        <v>24.285970540000001</v>
      </c>
      <c r="L42">
        <f t="shared" si="0"/>
        <v>1.2187344182138331</v>
      </c>
      <c r="M42">
        <f t="shared" si="1"/>
        <v>3.189898839586339</v>
      </c>
    </row>
    <row r="43" spans="1:13">
      <c r="A43" t="s">
        <v>57</v>
      </c>
      <c r="B43" t="s">
        <v>46</v>
      </c>
      <c r="C43">
        <v>0.27726281800000002</v>
      </c>
      <c r="D43">
        <v>102</v>
      </c>
      <c r="E43">
        <v>128.47486799999999</v>
      </c>
      <c r="F43">
        <v>47627</v>
      </c>
      <c r="G43">
        <v>18373.273939999999</v>
      </c>
      <c r="H43">
        <v>278</v>
      </c>
      <c r="I43">
        <v>0.87011525599999995</v>
      </c>
      <c r="J43">
        <v>0.15766860199999999</v>
      </c>
      <c r="K43">
        <v>0.56959482500000003</v>
      </c>
      <c r="L43">
        <f t="shared" si="0"/>
        <v>-1.8472599043922115</v>
      </c>
      <c r="M43">
        <f t="shared" si="1"/>
        <v>-0.56283000424867646</v>
      </c>
    </row>
    <row r="44" spans="1:13">
      <c r="A44" t="s">
        <v>58</v>
      </c>
      <c r="B44" t="s">
        <v>59</v>
      </c>
      <c r="C44">
        <v>0.38123718899999998</v>
      </c>
      <c r="D44">
        <v>81</v>
      </c>
      <c r="E44">
        <v>329.24858180000001</v>
      </c>
      <c r="F44">
        <v>49793</v>
      </c>
      <c r="G44">
        <v>22267.425620000002</v>
      </c>
      <c r="H44">
        <v>378</v>
      </c>
      <c r="I44">
        <v>0.85368235000000003</v>
      </c>
      <c r="J44">
        <v>0.32760293000000001</v>
      </c>
      <c r="K44">
        <v>2.628934831</v>
      </c>
      <c r="L44">
        <f t="shared" si="0"/>
        <v>-1.1159529832092747</v>
      </c>
      <c r="M44">
        <f t="shared" si="1"/>
        <v>0.96657875692776141</v>
      </c>
    </row>
    <row r="45" spans="1:13">
      <c r="A45" t="s">
        <v>60</v>
      </c>
      <c r="B45" t="s">
        <v>59</v>
      </c>
      <c r="C45">
        <v>0.29858011600000001</v>
      </c>
      <c r="D45">
        <v>120</v>
      </c>
      <c r="E45">
        <v>188.40679470000001</v>
      </c>
      <c r="F45">
        <v>64318</v>
      </c>
      <c r="G45">
        <v>6285.6747960000002</v>
      </c>
      <c r="H45">
        <v>292</v>
      </c>
      <c r="I45">
        <v>0.640230823</v>
      </c>
      <c r="J45">
        <v>1.333412128</v>
      </c>
      <c r="K45">
        <v>14.00128525</v>
      </c>
      <c r="L45">
        <f t="shared" si="0"/>
        <v>0.28774116670568112</v>
      </c>
      <c r="M45">
        <f t="shared" si="1"/>
        <v>2.6391491289729974</v>
      </c>
    </row>
    <row r="46" spans="1:13">
      <c r="A46" t="s">
        <v>61</v>
      </c>
      <c r="B46" t="s">
        <v>59</v>
      </c>
      <c r="C46">
        <v>0.31718099599999999</v>
      </c>
      <c r="D46">
        <v>78</v>
      </c>
      <c r="E46">
        <v>358.84669609999997</v>
      </c>
      <c r="F46">
        <v>122928</v>
      </c>
      <c r="G46">
        <v>32362.750410000001</v>
      </c>
      <c r="H46">
        <v>586</v>
      </c>
      <c r="I46">
        <v>0.851606266</v>
      </c>
      <c r="J46">
        <v>0.19072831500000001</v>
      </c>
      <c r="K46">
        <v>1.9705367970000001</v>
      </c>
      <c r="L46">
        <f t="shared" si="0"/>
        <v>-1.6569052981108841</v>
      </c>
      <c r="M46">
        <f t="shared" si="1"/>
        <v>0.67830599141918968</v>
      </c>
    </row>
    <row r="47" spans="1:13">
      <c r="A47" t="s">
        <v>62</v>
      </c>
      <c r="B47" t="s">
        <v>59</v>
      </c>
      <c r="C47">
        <v>0.39284011899999999</v>
      </c>
      <c r="D47">
        <v>159</v>
      </c>
      <c r="E47">
        <v>345.21777780000002</v>
      </c>
      <c r="F47">
        <v>58902</v>
      </c>
      <c r="G47">
        <v>20570.694230000001</v>
      </c>
      <c r="H47">
        <v>296</v>
      </c>
      <c r="I47">
        <v>0.80852353799999999</v>
      </c>
      <c r="J47">
        <v>0.54759787999999998</v>
      </c>
      <c r="K47">
        <v>3.186245719</v>
      </c>
      <c r="L47">
        <f t="shared" si="0"/>
        <v>-0.60221405701434383</v>
      </c>
      <c r="M47">
        <f t="shared" si="1"/>
        <v>1.1588433331215657</v>
      </c>
    </row>
    <row r="48" spans="1:13">
      <c r="A48" t="s">
        <v>63</v>
      </c>
      <c r="B48" t="s">
        <v>59</v>
      </c>
      <c r="C48">
        <v>0.37416011999999998</v>
      </c>
      <c r="D48">
        <v>137</v>
      </c>
      <c r="E48">
        <v>432.2744543</v>
      </c>
      <c r="F48">
        <v>116103</v>
      </c>
      <c r="G48">
        <v>25761.295239999999</v>
      </c>
      <c r="H48">
        <v>663</v>
      </c>
      <c r="I48">
        <v>0.85392971100000004</v>
      </c>
      <c r="J48">
        <v>0.20955678999999999</v>
      </c>
      <c r="K48">
        <v>2.752118786</v>
      </c>
      <c r="L48">
        <f t="shared" si="0"/>
        <v>-1.562760502368179</v>
      </c>
      <c r="M48">
        <f t="shared" si="1"/>
        <v>1.0123710826570214</v>
      </c>
    </row>
    <row r="49" spans="1:13">
      <c r="A49" t="s">
        <v>64</v>
      </c>
      <c r="B49" t="s">
        <v>59</v>
      </c>
      <c r="C49">
        <v>0.311484967</v>
      </c>
      <c r="D49">
        <v>94</v>
      </c>
      <c r="E49">
        <v>265.06636479999997</v>
      </c>
      <c r="F49">
        <v>135810</v>
      </c>
      <c r="G49">
        <v>20191.368740000002</v>
      </c>
      <c r="H49">
        <v>332</v>
      </c>
      <c r="I49">
        <v>0.77778586100000002</v>
      </c>
      <c r="J49">
        <v>0.79458399800000001</v>
      </c>
      <c r="K49">
        <v>6.4445451350000003</v>
      </c>
      <c r="L49">
        <f t="shared" si="0"/>
        <v>-0.22993657423885189</v>
      </c>
      <c r="M49">
        <f t="shared" si="1"/>
        <v>1.8632340574846922</v>
      </c>
    </row>
    <row r="50" spans="1:13">
      <c r="A50" t="s">
        <v>65</v>
      </c>
      <c r="B50" t="s">
        <v>59</v>
      </c>
      <c r="C50">
        <v>0.39200379400000002</v>
      </c>
      <c r="D50">
        <v>156</v>
      </c>
      <c r="E50">
        <v>396.3901975</v>
      </c>
      <c r="F50">
        <v>79575</v>
      </c>
      <c r="G50">
        <v>35713.646780000003</v>
      </c>
      <c r="H50">
        <v>262</v>
      </c>
      <c r="I50">
        <v>0.903430277</v>
      </c>
      <c r="J50">
        <v>0.29956396099999999</v>
      </c>
      <c r="K50">
        <v>3.0167309169999998</v>
      </c>
      <c r="L50">
        <f t="shared" si="0"/>
        <v>-1.2054273249617244</v>
      </c>
      <c r="M50">
        <f t="shared" si="1"/>
        <v>1.1041737672699548</v>
      </c>
    </row>
    <row r="51" spans="1:13">
      <c r="A51" t="s">
        <v>66</v>
      </c>
      <c r="B51" t="s">
        <v>59</v>
      </c>
      <c r="C51">
        <v>0.437683141</v>
      </c>
      <c r="D51">
        <v>60</v>
      </c>
      <c r="E51">
        <v>192.55077840000001</v>
      </c>
      <c r="F51">
        <v>94839</v>
      </c>
      <c r="G51">
        <v>27145.211780000001</v>
      </c>
      <c r="H51">
        <v>569</v>
      </c>
      <c r="I51">
        <v>0.84384013499999999</v>
      </c>
      <c r="J51">
        <v>0.17393256700000001</v>
      </c>
      <c r="K51">
        <v>1.7502477160000001</v>
      </c>
      <c r="L51">
        <f t="shared" si="0"/>
        <v>-1.7490876008599694</v>
      </c>
      <c r="M51">
        <f t="shared" si="1"/>
        <v>0.55975732991788374</v>
      </c>
    </row>
    <row r="52" spans="1:13">
      <c r="A52" t="s">
        <v>67</v>
      </c>
      <c r="B52" t="s">
        <v>59</v>
      </c>
      <c r="C52">
        <v>0.378531748</v>
      </c>
      <c r="D52">
        <v>163</v>
      </c>
      <c r="E52">
        <v>356.39910420000001</v>
      </c>
      <c r="F52">
        <v>58597</v>
      </c>
      <c r="G52">
        <v>16499.42511</v>
      </c>
      <c r="H52">
        <v>537</v>
      </c>
      <c r="I52">
        <v>0.88783676300000003</v>
      </c>
      <c r="J52">
        <v>1.626186854</v>
      </c>
      <c r="K52">
        <v>6.4095785159999998</v>
      </c>
      <c r="L52">
        <f t="shared" si="0"/>
        <v>0.48623792088240342</v>
      </c>
      <c r="M52">
        <f t="shared" si="1"/>
        <v>1.8577935146365154</v>
      </c>
    </row>
    <row r="53" spans="1:13">
      <c r="A53" t="s">
        <v>68</v>
      </c>
      <c r="B53" t="s">
        <v>59</v>
      </c>
      <c r="C53">
        <v>0.32082157300000003</v>
      </c>
      <c r="D53">
        <v>69</v>
      </c>
      <c r="E53">
        <v>332.3648245</v>
      </c>
      <c r="F53">
        <v>65675</v>
      </c>
      <c r="G53">
        <v>19981.421760000001</v>
      </c>
      <c r="H53">
        <v>353</v>
      </c>
      <c r="I53">
        <v>0.84372344300000002</v>
      </c>
      <c r="J53">
        <v>0.497312592</v>
      </c>
      <c r="K53">
        <v>2.9902389130000002</v>
      </c>
      <c r="L53">
        <f t="shared" si="0"/>
        <v>-0.69853649285005592</v>
      </c>
      <c r="M53">
        <f t="shared" si="1"/>
        <v>1.0953532882238175</v>
      </c>
    </row>
    <row r="54" spans="1:13">
      <c r="A54" t="s">
        <v>69</v>
      </c>
      <c r="B54" t="s">
        <v>59</v>
      </c>
      <c r="C54">
        <v>0.31972019899999998</v>
      </c>
      <c r="D54">
        <v>92</v>
      </c>
      <c r="E54">
        <v>101.8701799</v>
      </c>
      <c r="F54">
        <v>72026</v>
      </c>
      <c r="G54">
        <v>5628.42461</v>
      </c>
      <c r="H54">
        <v>357</v>
      </c>
      <c r="I54">
        <v>0.876384092</v>
      </c>
      <c r="J54">
        <v>0.59929680200000002</v>
      </c>
      <c r="K54">
        <v>2.6630204229999999</v>
      </c>
      <c r="L54">
        <f t="shared" si="0"/>
        <v>-0.51199830775783173</v>
      </c>
      <c r="M54">
        <f t="shared" si="1"/>
        <v>0.97946097597249604</v>
      </c>
    </row>
    <row r="55" spans="1:13">
      <c r="A55" t="s">
        <v>70</v>
      </c>
      <c r="B55" t="s">
        <v>59</v>
      </c>
      <c r="C55">
        <v>0.27767386999999999</v>
      </c>
      <c r="D55">
        <v>155</v>
      </c>
      <c r="E55">
        <v>402.72174219999999</v>
      </c>
      <c r="F55">
        <v>64054</v>
      </c>
      <c r="G55">
        <v>16600.448039999999</v>
      </c>
      <c r="H55">
        <v>375</v>
      </c>
      <c r="I55">
        <v>0.710798822</v>
      </c>
      <c r="J55">
        <v>1.2981645559999999</v>
      </c>
      <c r="K55">
        <v>13.06937724</v>
      </c>
      <c r="L55">
        <f t="shared" si="0"/>
        <v>0.26095138682577962</v>
      </c>
      <c r="M55">
        <f t="shared" si="1"/>
        <v>2.5702718784519591</v>
      </c>
    </row>
    <row r="56" spans="1:13">
      <c r="A56" t="s">
        <v>71</v>
      </c>
      <c r="B56" t="s">
        <v>59</v>
      </c>
      <c r="C56">
        <v>0.26180214699999999</v>
      </c>
      <c r="D56">
        <v>174</v>
      </c>
      <c r="E56">
        <v>229.8425038</v>
      </c>
      <c r="F56">
        <v>77804</v>
      </c>
      <c r="G56">
        <v>9068.0721549999998</v>
      </c>
      <c r="H56">
        <v>386</v>
      </c>
      <c r="I56">
        <v>0.75575410099999996</v>
      </c>
      <c r="J56">
        <v>1.3135681850000001</v>
      </c>
      <c r="K56">
        <v>8.1786381549999998</v>
      </c>
      <c r="L56">
        <f t="shared" si="0"/>
        <v>0.27274723972114162</v>
      </c>
      <c r="M56">
        <f t="shared" si="1"/>
        <v>2.10152565203571</v>
      </c>
    </row>
    <row r="57" spans="1:13">
      <c r="A57" t="s">
        <v>72</v>
      </c>
      <c r="B57" t="s">
        <v>73</v>
      </c>
      <c r="C57">
        <v>0.45592245300000001</v>
      </c>
      <c r="D57">
        <v>80</v>
      </c>
      <c r="E57">
        <v>114.6563939</v>
      </c>
      <c r="F57">
        <v>66173</v>
      </c>
      <c r="G57">
        <v>47878.688439999998</v>
      </c>
      <c r="H57">
        <v>130</v>
      </c>
      <c r="I57">
        <v>0.83788606300000001</v>
      </c>
      <c r="J57">
        <v>0.18211106499999999</v>
      </c>
      <c r="K57">
        <v>2.429610351</v>
      </c>
      <c r="L57">
        <f t="shared" si="0"/>
        <v>-1.7031385307777316</v>
      </c>
      <c r="M57">
        <f t="shared" si="1"/>
        <v>0.88773089511240433</v>
      </c>
    </row>
    <row r="58" spans="1:13">
      <c r="A58" t="s">
        <v>74</v>
      </c>
      <c r="B58" t="s">
        <v>73</v>
      </c>
      <c r="C58">
        <v>0.50326938300000001</v>
      </c>
      <c r="D58">
        <v>132</v>
      </c>
      <c r="E58">
        <v>96.47389502</v>
      </c>
      <c r="F58">
        <v>55035</v>
      </c>
      <c r="G58">
        <v>42644.606390000001</v>
      </c>
      <c r="H58">
        <v>245</v>
      </c>
      <c r="I58">
        <v>0.88722845100000003</v>
      </c>
      <c r="J58">
        <v>0.16154519000000001</v>
      </c>
      <c r="K58">
        <v>2.6723714279999999</v>
      </c>
      <c r="L58">
        <f t="shared" si="0"/>
        <v>-1.8229703612186434</v>
      </c>
      <c r="M58">
        <f t="shared" si="1"/>
        <v>0.98296625349878397</v>
      </c>
    </row>
    <row r="59" spans="1:13">
      <c r="A59" t="s">
        <v>75</v>
      </c>
      <c r="B59" t="s">
        <v>73</v>
      </c>
      <c r="C59">
        <v>0.27643337099999998</v>
      </c>
      <c r="D59">
        <v>360</v>
      </c>
      <c r="E59">
        <v>226.6648615</v>
      </c>
      <c r="F59">
        <v>52129</v>
      </c>
      <c r="G59">
        <v>11081.61522</v>
      </c>
      <c r="H59">
        <v>541</v>
      </c>
      <c r="I59">
        <v>0.76293468499999995</v>
      </c>
      <c r="J59">
        <v>1.313136045</v>
      </c>
      <c r="K59">
        <v>9.817440758</v>
      </c>
      <c r="L59">
        <f t="shared" si="0"/>
        <v>0.27241820381449994</v>
      </c>
      <c r="M59">
        <f t="shared" si="1"/>
        <v>2.2841604731253633</v>
      </c>
    </row>
    <row r="60" spans="1:13">
      <c r="A60" t="s">
        <v>76</v>
      </c>
      <c r="B60" t="s">
        <v>73</v>
      </c>
      <c r="C60">
        <v>0.36324788299999999</v>
      </c>
      <c r="D60">
        <v>56</v>
      </c>
      <c r="E60">
        <v>115.6786467</v>
      </c>
      <c r="F60">
        <v>46806</v>
      </c>
      <c r="G60">
        <v>45435.79797</v>
      </c>
      <c r="H60">
        <v>133</v>
      </c>
      <c r="I60">
        <v>0.90182191899999997</v>
      </c>
      <c r="J60">
        <v>0.68152214099999997</v>
      </c>
      <c r="K60">
        <v>4.0525268490000004</v>
      </c>
      <c r="L60">
        <f t="shared" si="0"/>
        <v>-0.38342653974526741</v>
      </c>
      <c r="M60">
        <f t="shared" si="1"/>
        <v>1.399340599898776</v>
      </c>
    </row>
    <row r="61" spans="1:13">
      <c r="A61" t="s">
        <v>77</v>
      </c>
      <c r="B61" t="s">
        <v>73</v>
      </c>
      <c r="C61">
        <v>0.406220635</v>
      </c>
      <c r="D61">
        <v>242</v>
      </c>
      <c r="E61">
        <v>72.781809710000005</v>
      </c>
      <c r="F61">
        <v>46415</v>
      </c>
      <c r="G61">
        <v>11214.897199999999</v>
      </c>
      <c r="H61">
        <v>334</v>
      </c>
      <c r="I61">
        <v>0.87484980599999995</v>
      </c>
      <c r="J61">
        <v>0.61995806099999995</v>
      </c>
      <c r="K61">
        <v>1.8589018470000001</v>
      </c>
      <c r="L61">
        <f t="shared" si="0"/>
        <v>-0.47810344677931499</v>
      </c>
      <c r="M61">
        <f t="shared" si="1"/>
        <v>0.6199859085288324</v>
      </c>
    </row>
    <row r="62" spans="1:13">
      <c r="A62" t="s">
        <v>78</v>
      </c>
      <c r="B62" t="s">
        <v>73</v>
      </c>
      <c r="C62">
        <v>0.36654825400000002</v>
      </c>
      <c r="D62">
        <v>89</v>
      </c>
      <c r="E62">
        <v>115.81789759999999</v>
      </c>
      <c r="F62">
        <v>52179</v>
      </c>
      <c r="G62">
        <v>31101.189259999999</v>
      </c>
      <c r="H62">
        <v>292</v>
      </c>
      <c r="I62">
        <v>0.89188512799999997</v>
      </c>
      <c r="J62">
        <v>0.34262848400000001</v>
      </c>
      <c r="K62">
        <v>1.272878476</v>
      </c>
      <c r="L62">
        <f t="shared" si="0"/>
        <v>-1.071108555859263</v>
      </c>
      <c r="M62">
        <f t="shared" si="1"/>
        <v>0.24128085233185007</v>
      </c>
    </row>
    <row r="63" spans="1:13">
      <c r="A63" t="s">
        <v>79</v>
      </c>
      <c r="B63" t="s">
        <v>73</v>
      </c>
      <c r="C63">
        <v>0.44706875200000001</v>
      </c>
      <c r="D63">
        <v>122</v>
      </c>
      <c r="E63">
        <v>128.94850289999999</v>
      </c>
      <c r="F63">
        <v>66033</v>
      </c>
      <c r="G63">
        <v>29740.614839999998</v>
      </c>
      <c r="H63">
        <v>420</v>
      </c>
      <c r="I63">
        <v>0.83264559599999999</v>
      </c>
      <c r="J63">
        <v>0.140296374</v>
      </c>
      <c r="K63">
        <v>1.4637155310000001</v>
      </c>
      <c r="L63">
        <f t="shared" si="0"/>
        <v>-1.9639981368263739</v>
      </c>
      <c r="M63">
        <f t="shared" si="1"/>
        <v>0.38097808723236798</v>
      </c>
    </row>
    <row r="64" spans="1:13">
      <c r="A64" t="s">
        <v>80</v>
      </c>
      <c r="B64" t="s">
        <v>73</v>
      </c>
      <c r="C64">
        <v>0.34249453800000002</v>
      </c>
      <c r="D64">
        <v>125</v>
      </c>
      <c r="E64">
        <v>124.67706219999999</v>
      </c>
      <c r="F64">
        <v>59392</v>
      </c>
      <c r="G64">
        <v>19488.189030000001</v>
      </c>
      <c r="H64">
        <v>1761</v>
      </c>
      <c r="I64">
        <v>0.79431509099999997</v>
      </c>
      <c r="J64">
        <v>0.299492537</v>
      </c>
      <c r="K64">
        <v>8.7818948639999999</v>
      </c>
      <c r="L64">
        <f t="shared" si="0"/>
        <v>-1.2056657799340915</v>
      </c>
      <c r="M64">
        <f t="shared" si="1"/>
        <v>2.1726922003074445</v>
      </c>
    </row>
    <row r="65" spans="1:13">
      <c r="A65" t="s">
        <v>81</v>
      </c>
      <c r="B65" t="s">
        <v>82</v>
      </c>
      <c r="C65">
        <v>0.35899756199999999</v>
      </c>
      <c r="D65">
        <v>277</v>
      </c>
      <c r="E65">
        <v>258.63105769999999</v>
      </c>
      <c r="F65">
        <v>61406</v>
      </c>
      <c r="G65">
        <v>19430.763220000001</v>
      </c>
      <c r="H65">
        <v>565</v>
      </c>
      <c r="I65">
        <v>0.85902051999999995</v>
      </c>
      <c r="J65">
        <v>0.14907426700000001</v>
      </c>
      <c r="K65">
        <v>2.2495939890000001</v>
      </c>
      <c r="L65">
        <f t="shared" si="0"/>
        <v>-1.9033106609731492</v>
      </c>
      <c r="M65">
        <f t="shared" si="1"/>
        <v>0.81074975060005561</v>
      </c>
    </row>
    <row r="66" spans="1:13">
      <c r="A66" t="s">
        <v>83</v>
      </c>
      <c r="B66" t="s">
        <v>82</v>
      </c>
      <c r="C66">
        <v>0.284606847</v>
      </c>
      <c r="D66">
        <v>200</v>
      </c>
      <c r="E66">
        <v>298.3760388</v>
      </c>
      <c r="F66">
        <v>64943</v>
      </c>
      <c r="G66">
        <v>18726.903549999999</v>
      </c>
      <c r="H66">
        <v>616</v>
      </c>
      <c r="I66">
        <v>0.76218421199999997</v>
      </c>
      <c r="J66">
        <v>0.65491462700000003</v>
      </c>
      <c r="K66">
        <v>6.4535339279999997</v>
      </c>
      <c r="L66">
        <f t="shared" si="0"/>
        <v>-0.42325039229995604</v>
      </c>
      <c r="M66">
        <f t="shared" si="1"/>
        <v>1.8646278765815247</v>
      </c>
    </row>
    <row r="67" spans="1:13">
      <c r="A67" t="s">
        <v>84</v>
      </c>
      <c r="B67" t="s">
        <v>82</v>
      </c>
      <c r="C67">
        <v>0.37079660800000003</v>
      </c>
      <c r="D67">
        <v>105</v>
      </c>
      <c r="E67">
        <v>165.216499</v>
      </c>
      <c r="F67">
        <v>64829</v>
      </c>
      <c r="G67">
        <v>34974.478210000001</v>
      </c>
      <c r="H67">
        <v>191</v>
      </c>
      <c r="I67">
        <v>0.86001140399999998</v>
      </c>
      <c r="J67">
        <v>0.13449972199999999</v>
      </c>
      <c r="K67">
        <v>2.328021401</v>
      </c>
      <c r="L67">
        <f t="shared" ref="L67:L130" si="2">LN(J67)</f>
        <v>-2.0061931468568774</v>
      </c>
      <c r="M67">
        <f t="shared" ref="M67:M130" si="3">LN(K67)</f>
        <v>0.84501872269635303</v>
      </c>
    </row>
    <row r="68" spans="1:13">
      <c r="A68" t="s">
        <v>85</v>
      </c>
      <c r="B68" t="s">
        <v>82</v>
      </c>
      <c r="C68">
        <v>0.41214598000000002</v>
      </c>
      <c r="D68">
        <v>155</v>
      </c>
      <c r="E68">
        <v>170.48246330000001</v>
      </c>
      <c r="F68">
        <v>68371</v>
      </c>
      <c r="G68">
        <v>21605.804329999999</v>
      </c>
      <c r="H68">
        <v>140</v>
      </c>
      <c r="I68">
        <v>0.80818734000000003</v>
      </c>
      <c r="J68">
        <v>0.514833192</v>
      </c>
      <c r="K68">
        <v>1.4311286430000001</v>
      </c>
      <c r="L68">
        <f t="shared" si="2"/>
        <v>-0.66391232981414727</v>
      </c>
      <c r="M68">
        <f t="shared" si="3"/>
        <v>0.35846339380842918</v>
      </c>
    </row>
    <row r="69" spans="1:13">
      <c r="A69" t="s">
        <v>86</v>
      </c>
      <c r="B69" t="s">
        <v>82</v>
      </c>
      <c r="C69">
        <v>0.28282473499999999</v>
      </c>
      <c r="D69">
        <v>99</v>
      </c>
      <c r="E69">
        <v>160.16324689999999</v>
      </c>
      <c r="F69">
        <v>61406</v>
      </c>
      <c r="G69">
        <v>14245.14611</v>
      </c>
      <c r="H69">
        <v>180</v>
      </c>
      <c r="I69">
        <v>0.66171678300000003</v>
      </c>
      <c r="J69">
        <v>0.42737770800000002</v>
      </c>
      <c r="K69">
        <v>0.79820255399999995</v>
      </c>
      <c r="L69">
        <f t="shared" si="2"/>
        <v>-0.85008709468708665</v>
      </c>
      <c r="M69">
        <f t="shared" si="3"/>
        <v>-0.22539288667329915</v>
      </c>
    </row>
    <row r="70" spans="1:13">
      <c r="A70" t="s">
        <v>87</v>
      </c>
      <c r="B70" t="s">
        <v>82</v>
      </c>
      <c r="C70">
        <v>0.41032112700000001</v>
      </c>
      <c r="D70">
        <v>155</v>
      </c>
      <c r="E70">
        <v>103.2350635</v>
      </c>
      <c r="F70">
        <v>84151</v>
      </c>
      <c r="G70">
        <v>17969.147919999999</v>
      </c>
      <c r="H70">
        <v>174</v>
      </c>
      <c r="I70">
        <v>0.76314585999999995</v>
      </c>
      <c r="J70">
        <v>0.31751216900000001</v>
      </c>
      <c r="K70">
        <v>2.6081516979999999</v>
      </c>
      <c r="L70">
        <f t="shared" si="2"/>
        <v>-1.1472391338248178</v>
      </c>
      <c r="M70">
        <f t="shared" si="3"/>
        <v>0.9586418087838493</v>
      </c>
    </row>
    <row r="71" spans="1:13">
      <c r="A71" t="s">
        <v>88</v>
      </c>
      <c r="B71" t="s">
        <v>82</v>
      </c>
      <c r="C71">
        <v>0.33734439300000002</v>
      </c>
      <c r="D71">
        <v>47</v>
      </c>
      <c r="E71">
        <v>151.7584391</v>
      </c>
      <c r="F71">
        <v>44336</v>
      </c>
      <c r="G71">
        <v>43243.597399999999</v>
      </c>
      <c r="H71">
        <v>127</v>
      </c>
      <c r="I71">
        <v>0.81719702800000005</v>
      </c>
      <c r="J71">
        <v>0.94640294599999997</v>
      </c>
      <c r="K71">
        <v>5.9252924919999996</v>
      </c>
      <c r="L71">
        <f t="shared" si="2"/>
        <v>-5.5086853474115197E-2</v>
      </c>
      <c r="M71">
        <f t="shared" si="3"/>
        <v>1.7792300515411434</v>
      </c>
    </row>
    <row r="72" spans="1:13">
      <c r="A72" t="s">
        <v>89</v>
      </c>
      <c r="B72" t="s">
        <v>82</v>
      </c>
      <c r="C72">
        <v>0.592643005</v>
      </c>
      <c r="D72">
        <v>83</v>
      </c>
      <c r="E72">
        <v>183.72602359999999</v>
      </c>
      <c r="F72">
        <v>48536</v>
      </c>
      <c r="G72">
        <v>47915.30487</v>
      </c>
      <c r="H72">
        <v>166</v>
      </c>
      <c r="I72">
        <v>0.90624370200000004</v>
      </c>
      <c r="J72">
        <v>0.37428263000000001</v>
      </c>
      <c r="K72">
        <v>2.1081732729999998</v>
      </c>
      <c r="L72">
        <f t="shared" si="2"/>
        <v>-0.98274407177427581</v>
      </c>
      <c r="M72">
        <f t="shared" si="3"/>
        <v>0.74582182511889705</v>
      </c>
    </row>
    <row r="73" spans="1:13">
      <c r="A73" t="s">
        <v>90</v>
      </c>
      <c r="B73" t="s">
        <v>82</v>
      </c>
      <c r="C73">
        <v>0.27791397200000001</v>
      </c>
      <c r="D73">
        <v>190</v>
      </c>
      <c r="E73">
        <v>124.0272209</v>
      </c>
      <c r="F73">
        <v>94540</v>
      </c>
      <c r="G73">
        <v>7910.6412650000002</v>
      </c>
      <c r="H73">
        <v>717</v>
      </c>
      <c r="I73">
        <v>0.61414467399999995</v>
      </c>
      <c r="J73">
        <v>0.27353328999999998</v>
      </c>
      <c r="K73">
        <v>4.7711673110000001</v>
      </c>
      <c r="L73">
        <f t="shared" si="2"/>
        <v>-1.2963319460628415</v>
      </c>
      <c r="M73">
        <f t="shared" si="3"/>
        <v>1.5625909942485812</v>
      </c>
    </row>
    <row r="74" spans="1:13">
      <c r="A74" t="s">
        <v>91</v>
      </c>
      <c r="B74" t="s">
        <v>82</v>
      </c>
      <c r="C74">
        <v>0.177180698</v>
      </c>
      <c r="D74">
        <v>79</v>
      </c>
      <c r="E74">
        <v>326.21450670000002</v>
      </c>
      <c r="F74">
        <v>43712</v>
      </c>
      <c r="G74">
        <v>19159.969349999999</v>
      </c>
      <c r="H74">
        <v>513</v>
      </c>
      <c r="I74">
        <v>0.65001827000000001</v>
      </c>
      <c r="J74">
        <v>0.57766870400000003</v>
      </c>
      <c r="K74">
        <v>10.09453972</v>
      </c>
      <c r="L74">
        <f t="shared" si="2"/>
        <v>-0.54875475110877681</v>
      </c>
      <c r="M74">
        <f t="shared" si="3"/>
        <v>2.3119946558763891</v>
      </c>
    </row>
    <row r="75" spans="1:13">
      <c r="A75" t="s">
        <v>92</v>
      </c>
      <c r="B75" t="s">
        <v>82</v>
      </c>
      <c r="C75">
        <v>0.39655376199999998</v>
      </c>
      <c r="D75">
        <v>79</v>
      </c>
      <c r="E75">
        <v>147.35226059999999</v>
      </c>
      <c r="F75">
        <v>68024</v>
      </c>
      <c r="G75">
        <v>35570.107689999997</v>
      </c>
      <c r="H75">
        <v>139</v>
      </c>
      <c r="I75">
        <v>0.896296812</v>
      </c>
      <c r="J75">
        <v>0.34063284399999999</v>
      </c>
      <c r="K75">
        <v>1.4970020939999999</v>
      </c>
      <c r="L75">
        <f t="shared" si="2"/>
        <v>-1.076950085572894</v>
      </c>
      <c r="M75">
        <f t="shared" si="3"/>
        <v>0.40346450423410812</v>
      </c>
    </row>
    <row r="76" spans="1:13">
      <c r="A76" t="s">
        <v>93</v>
      </c>
      <c r="B76" t="s">
        <v>82</v>
      </c>
      <c r="C76">
        <v>0.29946824100000002</v>
      </c>
      <c r="D76">
        <v>95</v>
      </c>
      <c r="E76">
        <v>131.8671799</v>
      </c>
      <c r="F76">
        <v>44401</v>
      </c>
      <c r="G76">
        <v>24133.4231</v>
      </c>
      <c r="H76">
        <v>112</v>
      </c>
      <c r="I76">
        <v>0.84597180699999996</v>
      </c>
      <c r="J76">
        <v>0.27425170100000001</v>
      </c>
      <c r="K76">
        <v>0.56383404199999998</v>
      </c>
      <c r="L76">
        <f t="shared" si="2"/>
        <v>-1.2937089774759316</v>
      </c>
      <c r="M76">
        <f t="shared" si="3"/>
        <v>-0.57299532255767516</v>
      </c>
    </row>
    <row r="77" spans="1:13">
      <c r="A77" t="s">
        <v>94</v>
      </c>
      <c r="B77" t="s">
        <v>95</v>
      </c>
      <c r="C77">
        <v>0.20926367000000001</v>
      </c>
      <c r="D77">
        <v>412</v>
      </c>
      <c r="E77">
        <v>145.80203990000001</v>
      </c>
      <c r="F77">
        <v>27216</v>
      </c>
      <c r="G77">
        <v>1224.664325</v>
      </c>
      <c r="H77">
        <v>936</v>
      </c>
      <c r="I77">
        <v>0.65433288999999994</v>
      </c>
      <c r="J77">
        <v>3.7105381670000002</v>
      </c>
      <c r="K77">
        <v>15.370027350000001</v>
      </c>
      <c r="L77">
        <f t="shared" si="2"/>
        <v>1.3111769245899443</v>
      </c>
      <c r="M77">
        <f t="shared" si="3"/>
        <v>2.7324193369893899</v>
      </c>
    </row>
    <row r="78" spans="1:13">
      <c r="A78" t="s">
        <v>96</v>
      </c>
      <c r="B78" t="s">
        <v>95</v>
      </c>
      <c r="C78">
        <v>0.188661038</v>
      </c>
      <c r="D78">
        <v>880</v>
      </c>
      <c r="E78">
        <v>155.26743339999999</v>
      </c>
      <c r="F78">
        <v>21384</v>
      </c>
      <c r="G78">
        <v>780.13797220000004</v>
      </c>
      <c r="H78">
        <v>884</v>
      </c>
      <c r="I78">
        <v>0.262768736</v>
      </c>
      <c r="J78">
        <v>11.06890379</v>
      </c>
      <c r="K78">
        <v>46.691468659999998</v>
      </c>
      <c r="L78">
        <f t="shared" si="2"/>
        <v>2.4041397165236313</v>
      </c>
      <c r="M78">
        <f t="shared" si="3"/>
        <v>3.8435614640460654</v>
      </c>
    </row>
    <row r="79" spans="1:13">
      <c r="A79" t="s">
        <v>97</v>
      </c>
      <c r="B79" t="s">
        <v>95</v>
      </c>
      <c r="C79">
        <v>0.23751553</v>
      </c>
      <c r="D79">
        <v>1469</v>
      </c>
      <c r="E79">
        <v>145.88207919999999</v>
      </c>
      <c r="F79">
        <v>12267</v>
      </c>
      <c r="G79">
        <v>679.59941240000001</v>
      </c>
      <c r="H79">
        <v>418</v>
      </c>
      <c r="I79">
        <v>0.162893396</v>
      </c>
      <c r="J79">
        <v>12.823355299999999</v>
      </c>
      <c r="K79">
        <v>47.809691260000001</v>
      </c>
      <c r="L79">
        <f t="shared" si="2"/>
        <v>2.5512681411177618</v>
      </c>
      <c r="M79">
        <f t="shared" si="3"/>
        <v>3.8672283649723171</v>
      </c>
    </row>
    <row r="80" spans="1:13">
      <c r="A80" t="s">
        <v>98</v>
      </c>
      <c r="B80" t="s">
        <v>95</v>
      </c>
      <c r="C80">
        <v>0.18357847599999999</v>
      </c>
      <c r="D80">
        <v>443</v>
      </c>
      <c r="E80">
        <v>71.69153652</v>
      </c>
      <c r="F80">
        <v>14878</v>
      </c>
      <c r="G80">
        <v>505.87403649999999</v>
      </c>
      <c r="H80">
        <v>628</v>
      </c>
      <c r="I80">
        <v>0.26530775499999998</v>
      </c>
      <c r="J80">
        <v>10.71010835</v>
      </c>
      <c r="K80">
        <v>25.590643379999999</v>
      </c>
      <c r="L80">
        <f t="shared" si="2"/>
        <v>2.371188001121836</v>
      </c>
      <c r="M80">
        <f t="shared" si="3"/>
        <v>3.2422267917079326</v>
      </c>
    </row>
    <row r="81" spans="1:13">
      <c r="A81" t="s">
        <v>99</v>
      </c>
      <c r="B81" t="s">
        <v>95</v>
      </c>
      <c r="C81">
        <v>0.30574905800000002</v>
      </c>
      <c r="D81">
        <v>150</v>
      </c>
      <c r="E81">
        <v>192.56576749999999</v>
      </c>
      <c r="F81">
        <v>19342</v>
      </c>
      <c r="G81">
        <v>11508.12666</v>
      </c>
      <c r="H81">
        <v>273</v>
      </c>
      <c r="I81">
        <v>0.81794702500000005</v>
      </c>
      <c r="J81">
        <v>0.41583130800000001</v>
      </c>
      <c r="K81">
        <v>5.1977323379999998</v>
      </c>
      <c r="L81">
        <f t="shared" si="2"/>
        <v>-0.87747561057751633</v>
      </c>
      <c r="M81">
        <f t="shared" si="3"/>
        <v>1.6482224416268336</v>
      </c>
    </row>
    <row r="82" spans="1:13">
      <c r="A82" t="s">
        <v>100</v>
      </c>
      <c r="B82" t="s">
        <v>95</v>
      </c>
      <c r="C82">
        <v>0.19617477</v>
      </c>
      <c r="D82">
        <v>391</v>
      </c>
      <c r="E82">
        <v>138.5154952</v>
      </c>
      <c r="F82">
        <v>41048</v>
      </c>
      <c r="G82">
        <v>1324.2207519999999</v>
      </c>
      <c r="H82">
        <v>800</v>
      </c>
      <c r="I82">
        <v>0.59470055099999997</v>
      </c>
      <c r="J82">
        <v>1.2118669280000001</v>
      </c>
      <c r="K82">
        <v>7.5750831669999998</v>
      </c>
      <c r="L82">
        <f t="shared" si="2"/>
        <v>0.19216208623963088</v>
      </c>
      <c r="M82">
        <f t="shared" si="3"/>
        <v>2.0248643304770768</v>
      </c>
    </row>
    <row r="83" spans="1:13">
      <c r="A83" t="s">
        <v>101</v>
      </c>
      <c r="B83" t="s">
        <v>95</v>
      </c>
      <c r="C83">
        <v>0.186083781</v>
      </c>
      <c r="D83">
        <v>600</v>
      </c>
      <c r="E83">
        <v>73.072956309999995</v>
      </c>
      <c r="F83">
        <v>12267</v>
      </c>
      <c r="G83">
        <v>550.83024669999998</v>
      </c>
      <c r="H83">
        <v>339</v>
      </c>
      <c r="I83">
        <v>0.150554308</v>
      </c>
      <c r="J83">
        <v>11.490001100000001</v>
      </c>
      <c r="K83">
        <v>44.824444739999997</v>
      </c>
      <c r="L83">
        <f t="shared" si="2"/>
        <v>2.4414771875960817</v>
      </c>
      <c r="M83">
        <f t="shared" si="3"/>
        <v>3.8027536321305919</v>
      </c>
    </row>
    <row r="84" spans="1:13">
      <c r="A84" t="s">
        <v>102</v>
      </c>
      <c r="B84" t="s">
        <v>95</v>
      </c>
      <c r="C84">
        <v>0.19547244599999999</v>
      </c>
      <c r="D84">
        <v>228</v>
      </c>
      <c r="E84">
        <v>150.3968911</v>
      </c>
      <c r="F84">
        <v>34154</v>
      </c>
      <c r="G84">
        <v>2065.870367</v>
      </c>
      <c r="H84">
        <v>467</v>
      </c>
      <c r="I84">
        <v>0.429144317</v>
      </c>
      <c r="J84">
        <v>0.78148925599999997</v>
      </c>
      <c r="K84">
        <v>33.36277012</v>
      </c>
      <c r="L84">
        <f t="shared" si="2"/>
        <v>-0.2465538771357747</v>
      </c>
      <c r="M84">
        <f t="shared" si="3"/>
        <v>3.5074406112134149</v>
      </c>
    </row>
    <row r="85" spans="1:13">
      <c r="A85" t="s">
        <v>103</v>
      </c>
      <c r="B85" t="s">
        <v>95</v>
      </c>
      <c r="C85">
        <v>0.204315306</v>
      </c>
      <c r="D85">
        <v>1168</v>
      </c>
      <c r="E85">
        <v>112.31002119999999</v>
      </c>
      <c r="F85">
        <v>11197</v>
      </c>
      <c r="G85">
        <v>657.30552599999999</v>
      </c>
      <c r="H85">
        <v>479</v>
      </c>
      <c r="I85">
        <v>0.17533120899999999</v>
      </c>
      <c r="J85">
        <v>23.873981000000001</v>
      </c>
      <c r="K85">
        <v>113.4496683</v>
      </c>
      <c r="L85">
        <f t="shared" si="2"/>
        <v>3.1727892048276778</v>
      </c>
      <c r="M85">
        <f t="shared" si="3"/>
        <v>4.7313592874666188</v>
      </c>
    </row>
    <row r="86" spans="1:13">
      <c r="A86" t="s">
        <v>104</v>
      </c>
      <c r="B86" t="s">
        <v>95</v>
      </c>
      <c r="C86">
        <v>0.19652208600000001</v>
      </c>
      <c r="D86">
        <v>293</v>
      </c>
      <c r="E86">
        <v>217.33053330000001</v>
      </c>
      <c r="F86">
        <v>29651</v>
      </c>
      <c r="G86">
        <v>3065.2842030000002</v>
      </c>
      <c r="H86">
        <v>1724</v>
      </c>
      <c r="I86">
        <v>0.62322525699999998</v>
      </c>
      <c r="J86">
        <v>1.3817860879999999</v>
      </c>
      <c r="K86">
        <v>6.8188293079999998</v>
      </c>
      <c r="L86">
        <f t="shared" si="2"/>
        <v>0.32337692899466358</v>
      </c>
      <c r="M86">
        <f t="shared" si="3"/>
        <v>1.9196878014023666</v>
      </c>
    </row>
    <row r="87" spans="1:13">
      <c r="A87" t="s">
        <v>105</v>
      </c>
      <c r="B87" t="s">
        <v>95</v>
      </c>
      <c r="C87">
        <v>0.19680510500000001</v>
      </c>
      <c r="D87">
        <v>388</v>
      </c>
      <c r="E87">
        <v>69.236996649999995</v>
      </c>
      <c r="F87">
        <v>30119</v>
      </c>
      <c r="G87">
        <v>962.15945650000003</v>
      </c>
      <c r="H87">
        <v>572</v>
      </c>
      <c r="I87">
        <v>0.43079663899999998</v>
      </c>
      <c r="J87">
        <v>4.2519299779999997</v>
      </c>
      <c r="K87">
        <v>8.2387339389999994</v>
      </c>
      <c r="L87">
        <f t="shared" si="2"/>
        <v>1.4473729923290504</v>
      </c>
      <c r="M87">
        <f t="shared" si="3"/>
        <v>2.1088466839366777</v>
      </c>
    </row>
    <row r="88" spans="1:13">
      <c r="A88" t="s">
        <v>106</v>
      </c>
      <c r="B88" t="s">
        <v>95</v>
      </c>
      <c r="C88">
        <v>0.30198225299999998</v>
      </c>
      <c r="D88">
        <v>1385</v>
      </c>
      <c r="E88">
        <v>79.873336089999995</v>
      </c>
      <c r="F88">
        <v>19636</v>
      </c>
      <c r="G88">
        <v>607.74154120000003</v>
      </c>
      <c r="H88">
        <v>349</v>
      </c>
      <c r="I88">
        <v>0.1958965</v>
      </c>
      <c r="J88">
        <v>8.6089399590000006</v>
      </c>
      <c r="K88">
        <v>93.032351480000003</v>
      </c>
      <c r="L88">
        <f t="shared" si="2"/>
        <v>2.152801193438465</v>
      </c>
      <c r="M88">
        <f t="shared" si="3"/>
        <v>4.5329472980384677</v>
      </c>
    </row>
    <row r="89" spans="1:13">
      <c r="A89" t="s">
        <v>107</v>
      </c>
      <c r="B89" t="s">
        <v>95</v>
      </c>
      <c r="C89">
        <v>0.23772589599999999</v>
      </c>
      <c r="D89">
        <v>854</v>
      </c>
      <c r="E89">
        <v>129.17164289999999</v>
      </c>
      <c r="F89">
        <v>18609</v>
      </c>
      <c r="G89">
        <v>849.69581129999995</v>
      </c>
      <c r="H89">
        <v>684</v>
      </c>
      <c r="I89">
        <v>0.36025589200000002</v>
      </c>
      <c r="J89">
        <v>9.6795158919999995</v>
      </c>
      <c r="K89">
        <v>41.628415660000002</v>
      </c>
      <c r="L89">
        <f t="shared" si="2"/>
        <v>2.2700118888808611</v>
      </c>
      <c r="M89">
        <f t="shared" si="3"/>
        <v>3.7287830028319409</v>
      </c>
    </row>
    <row r="90" spans="1:13">
      <c r="A90" t="s">
        <v>108</v>
      </c>
      <c r="B90" t="s">
        <v>12</v>
      </c>
      <c r="C90">
        <v>0.273596756</v>
      </c>
      <c r="D90">
        <v>754</v>
      </c>
      <c r="E90">
        <v>913.26667520000001</v>
      </c>
      <c r="F90">
        <v>135176</v>
      </c>
      <c r="G90">
        <v>5328.1447790000002</v>
      </c>
      <c r="H90">
        <v>1179</v>
      </c>
      <c r="I90">
        <v>0.63686939200000003</v>
      </c>
      <c r="J90">
        <v>1.8753356779999999</v>
      </c>
      <c r="K90">
        <v>15.68262447</v>
      </c>
      <c r="L90">
        <f t="shared" si="2"/>
        <v>0.62878767166539307</v>
      </c>
      <c r="M90">
        <f t="shared" si="3"/>
        <v>2.7525533778295745</v>
      </c>
    </row>
    <row r="91" spans="1:13">
      <c r="A91" t="s">
        <v>109</v>
      </c>
      <c r="B91" t="s">
        <v>12</v>
      </c>
      <c r="C91">
        <v>0.248380405</v>
      </c>
      <c r="D91">
        <v>157</v>
      </c>
      <c r="E91">
        <v>437.83491450000002</v>
      </c>
      <c r="F91">
        <v>45179</v>
      </c>
      <c r="G91">
        <v>11509.27274</v>
      </c>
      <c r="H91">
        <v>540</v>
      </c>
      <c r="I91">
        <v>0.71412068799999995</v>
      </c>
      <c r="J91">
        <v>3.9462688180000001</v>
      </c>
      <c r="K91">
        <v>21.216662169999999</v>
      </c>
      <c r="L91">
        <f t="shared" si="2"/>
        <v>1.3727705294564585</v>
      </c>
      <c r="M91">
        <f t="shared" si="3"/>
        <v>3.0547868243949847</v>
      </c>
    </row>
    <row r="92" spans="1:13">
      <c r="A92" t="s">
        <v>110</v>
      </c>
      <c r="B92" t="s">
        <v>12</v>
      </c>
      <c r="C92">
        <v>0.38649116999999999</v>
      </c>
      <c r="D92">
        <v>122</v>
      </c>
      <c r="E92">
        <v>395.23784799999999</v>
      </c>
      <c r="F92">
        <v>45426</v>
      </c>
      <c r="G92">
        <v>16066.279710000001</v>
      </c>
      <c r="H92">
        <v>459</v>
      </c>
      <c r="I92">
        <v>0.79062568600000005</v>
      </c>
      <c r="J92">
        <v>1.6801982019999999</v>
      </c>
      <c r="K92">
        <v>10.95893135</v>
      </c>
      <c r="L92">
        <f t="shared" si="2"/>
        <v>0.51891176383733595</v>
      </c>
      <c r="M92">
        <f t="shared" si="3"/>
        <v>2.3941547722039469</v>
      </c>
    </row>
    <row r="93" spans="1:13">
      <c r="A93" t="s">
        <v>111</v>
      </c>
      <c r="B93" t="s">
        <v>12</v>
      </c>
      <c r="C93">
        <v>0.27892424999999998</v>
      </c>
      <c r="D93">
        <v>525</v>
      </c>
      <c r="E93">
        <v>830.4473964</v>
      </c>
      <c r="F93">
        <v>56241</v>
      </c>
      <c r="G93">
        <v>6788.9319770000002</v>
      </c>
      <c r="H93">
        <v>1223</v>
      </c>
      <c r="I93">
        <v>0.71909842000000002</v>
      </c>
      <c r="J93">
        <v>0.57270760499999995</v>
      </c>
      <c r="K93">
        <v>15.15187633</v>
      </c>
      <c r="L93">
        <f t="shared" si="2"/>
        <v>-0.55737998046672177</v>
      </c>
      <c r="M93">
        <f t="shared" si="3"/>
        <v>2.7181243744515964</v>
      </c>
    </row>
    <row r="94" spans="1:13">
      <c r="A94" t="s">
        <v>112</v>
      </c>
      <c r="B94" t="s">
        <v>12</v>
      </c>
      <c r="C94">
        <v>0.30068711199999998</v>
      </c>
      <c r="D94">
        <v>87</v>
      </c>
      <c r="E94">
        <v>388.08322429999998</v>
      </c>
      <c r="F94">
        <v>49281</v>
      </c>
      <c r="G94">
        <v>18246.89964</v>
      </c>
      <c r="H94">
        <v>288</v>
      </c>
      <c r="I94">
        <v>0.78742139899999997</v>
      </c>
      <c r="J94">
        <v>0.29314832499999999</v>
      </c>
      <c r="K94">
        <v>2.0296804669999999</v>
      </c>
      <c r="L94">
        <f t="shared" si="2"/>
        <v>-1.2270765693866335</v>
      </c>
      <c r="M94">
        <f t="shared" si="3"/>
        <v>0.70787837524544361</v>
      </c>
    </row>
    <row r="95" spans="1:13">
      <c r="A95" t="s">
        <v>113</v>
      </c>
      <c r="B95" t="s">
        <v>12</v>
      </c>
      <c r="C95">
        <v>0.27502327500000001</v>
      </c>
      <c r="D95">
        <v>1100</v>
      </c>
      <c r="E95">
        <v>303.08449080000003</v>
      </c>
      <c r="F95">
        <v>25776</v>
      </c>
      <c r="G95">
        <v>1402.6125070000001</v>
      </c>
      <c r="H95">
        <v>604</v>
      </c>
      <c r="I95">
        <v>0.54370160499999998</v>
      </c>
      <c r="J95">
        <v>3.0540981409999999</v>
      </c>
      <c r="K95">
        <v>10.87349992</v>
      </c>
      <c r="L95">
        <f t="shared" si="2"/>
        <v>1.1164843415125971</v>
      </c>
      <c r="M95">
        <f t="shared" si="3"/>
        <v>2.3863286290695687</v>
      </c>
    </row>
    <row r="96" spans="1:13">
      <c r="A96" t="s">
        <v>114</v>
      </c>
      <c r="B96" t="s">
        <v>12</v>
      </c>
      <c r="C96">
        <v>0.28525952799999998</v>
      </c>
      <c r="D96">
        <v>99</v>
      </c>
      <c r="E96">
        <v>540.8554838</v>
      </c>
      <c r="F96">
        <v>49960</v>
      </c>
      <c r="G96">
        <v>19494.173889999998</v>
      </c>
      <c r="H96">
        <v>464</v>
      </c>
      <c r="I96">
        <v>0.80775766400000004</v>
      </c>
      <c r="J96">
        <v>0.30367702600000002</v>
      </c>
      <c r="K96">
        <v>1.5429628710000001</v>
      </c>
      <c r="L96">
        <f t="shared" si="2"/>
        <v>-1.1917905568118996</v>
      </c>
      <c r="M96">
        <f t="shared" si="3"/>
        <v>0.43370451022695888</v>
      </c>
    </row>
    <row r="97" spans="1:13">
      <c r="A97" t="s">
        <v>115</v>
      </c>
      <c r="B97" t="s">
        <v>12</v>
      </c>
      <c r="C97">
        <v>0.25708455200000002</v>
      </c>
      <c r="D97">
        <v>607</v>
      </c>
      <c r="E97">
        <v>344.46406880000001</v>
      </c>
      <c r="F97">
        <v>53669</v>
      </c>
      <c r="G97">
        <v>2221.116305</v>
      </c>
      <c r="H97">
        <v>792</v>
      </c>
      <c r="I97">
        <v>0.61812756999999996</v>
      </c>
      <c r="J97">
        <v>2.9214438880000002</v>
      </c>
      <c r="K97">
        <v>24.080448480000001</v>
      </c>
      <c r="L97">
        <f t="shared" si="2"/>
        <v>1.0720779762559398</v>
      </c>
      <c r="M97">
        <f t="shared" si="3"/>
        <v>3.1814002448519023</v>
      </c>
    </row>
    <row r="98" spans="1:13">
      <c r="A98" t="s">
        <v>116</v>
      </c>
      <c r="B98" t="s">
        <v>12</v>
      </c>
      <c r="C98">
        <v>0.42239218499999998</v>
      </c>
      <c r="D98">
        <v>138</v>
      </c>
      <c r="E98">
        <v>297.87384049999997</v>
      </c>
      <c r="F98">
        <v>62260</v>
      </c>
      <c r="G98">
        <v>15406.491749999999</v>
      </c>
      <c r="H98">
        <v>261</v>
      </c>
      <c r="I98">
        <v>0.801667248</v>
      </c>
      <c r="J98">
        <v>0.18402796699999999</v>
      </c>
      <c r="K98">
        <v>2.4997290510000001</v>
      </c>
      <c r="L98">
        <f t="shared" si="2"/>
        <v>-1.6926675383579377</v>
      </c>
      <c r="M98">
        <f t="shared" si="3"/>
        <v>0.91618234640066187</v>
      </c>
    </row>
    <row r="99" spans="1:13">
      <c r="A99" t="s">
        <v>117</v>
      </c>
      <c r="B99" t="s">
        <v>12</v>
      </c>
      <c r="C99">
        <v>0.30395869399999997</v>
      </c>
      <c r="D99">
        <v>1187</v>
      </c>
      <c r="E99">
        <v>595.14645210000003</v>
      </c>
      <c r="F99">
        <v>48005</v>
      </c>
      <c r="G99">
        <v>2580.6835190000002</v>
      </c>
      <c r="H99">
        <v>1628</v>
      </c>
      <c r="I99">
        <v>0.57840194499999997</v>
      </c>
      <c r="J99">
        <v>1.0843762969999999</v>
      </c>
      <c r="K99">
        <v>35.835889160000001</v>
      </c>
      <c r="L99">
        <f t="shared" si="2"/>
        <v>8.100498023306324E-2</v>
      </c>
      <c r="M99">
        <f t="shared" si="3"/>
        <v>3.5789498817514214</v>
      </c>
    </row>
    <row r="100" spans="1:13">
      <c r="A100" t="s">
        <v>118</v>
      </c>
      <c r="B100" t="s">
        <v>12</v>
      </c>
      <c r="C100">
        <v>0.23906413300000001</v>
      </c>
      <c r="D100">
        <v>660</v>
      </c>
      <c r="E100">
        <v>445.89138150000002</v>
      </c>
      <c r="F100">
        <v>32501</v>
      </c>
      <c r="G100">
        <v>1920.8520080000001</v>
      </c>
      <c r="H100">
        <v>1095</v>
      </c>
      <c r="I100">
        <v>0.55354104599999998</v>
      </c>
      <c r="J100">
        <v>2.291156188</v>
      </c>
      <c r="K100">
        <v>12.8841822</v>
      </c>
      <c r="L100">
        <f t="shared" si="2"/>
        <v>0.82905657574382252</v>
      </c>
      <c r="M100">
        <f t="shared" si="3"/>
        <v>2.5560003729399021</v>
      </c>
    </row>
    <row r="101" spans="1:13">
      <c r="A101" t="s">
        <v>119</v>
      </c>
      <c r="B101" t="s">
        <v>12</v>
      </c>
      <c r="C101">
        <v>0.24697443599999999</v>
      </c>
      <c r="D101">
        <v>80</v>
      </c>
      <c r="E101">
        <v>371.86507519999998</v>
      </c>
      <c r="F101">
        <v>29225</v>
      </c>
      <c r="G101">
        <v>13703.11721</v>
      </c>
      <c r="H101">
        <v>276</v>
      </c>
      <c r="I101">
        <v>0.79426052300000005</v>
      </c>
      <c r="J101">
        <v>0.18228116999999999</v>
      </c>
      <c r="K101">
        <v>1.3651828260000001</v>
      </c>
      <c r="L101">
        <f t="shared" si="2"/>
        <v>-1.7022048939105441</v>
      </c>
      <c r="M101">
        <f t="shared" si="3"/>
        <v>0.31128835812950667</v>
      </c>
    </row>
    <row r="102" spans="1:13">
      <c r="A102" t="s">
        <v>120</v>
      </c>
      <c r="B102" t="s">
        <v>12</v>
      </c>
      <c r="C102">
        <v>0.32306336600000002</v>
      </c>
      <c r="D102">
        <v>133</v>
      </c>
      <c r="E102">
        <v>615.95398169999999</v>
      </c>
      <c r="F102">
        <v>72328</v>
      </c>
      <c r="G102">
        <v>15891.088949999999</v>
      </c>
      <c r="H102">
        <v>355</v>
      </c>
      <c r="I102">
        <v>0.77424124599999999</v>
      </c>
      <c r="J102">
        <v>0.29647476</v>
      </c>
      <c r="K102">
        <v>4.7081599660000002</v>
      </c>
      <c r="L102">
        <f t="shared" si="2"/>
        <v>-1.215793190643369</v>
      </c>
      <c r="M102">
        <f t="shared" si="3"/>
        <v>1.5492971663059403</v>
      </c>
    </row>
    <row r="103" spans="1:13">
      <c r="A103" t="s">
        <v>121</v>
      </c>
      <c r="B103" t="s">
        <v>12</v>
      </c>
      <c r="C103">
        <v>0.28426217399999998</v>
      </c>
      <c r="D103">
        <v>107</v>
      </c>
      <c r="E103">
        <v>564.88960850000001</v>
      </c>
      <c r="F103">
        <v>43621</v>
      </c>
      <c r="G103">
        <v>18388.620630000001</v>
      </c>
      <c r="H103">
        <v>485</v>
      </c>
      <c r="I103">
        <v>0.80125959400000002</v>
      </c>
      <c r="J103">
        <v>0.47257049000000001</v>
      </c>
      <c r="K103">
        <v>5.1599307950000002</v>
      </c>
      <c r="L103">
        <f t="shared" si="2"/>
        <v>-0.74956835799015753</v>
      </c>
      <c r="M103">
        <f t="shared" si="3"/>
        <v>1.6409231675818268</v>
      </c>
    </row>
    <row r="104" spans="1:13">
      <c r="A104" t="s">
        <v>122</v>
      </c>
      <c r="B104" t="s">
        <v>12</v>
      </c>
      <c r="C104">
        <v>0.31170119200000002</v>
      </c>
      <c r="D104">
        <v>93</v>
      </c>
      <c r="E104">
        <v>481.47912120000001</v>
      </c>
      <c r="F104">
        <v>67808</v>
      </c>
      <c r="G104">
        <v>25678.386149999998</v>
      </c>
      <c r="H104">
        <v>376</v>
      </c>
      <c r="I104">
        <v>0.827916125</v>
      </c>
      <c r="J104">
        <v>0.14880025799999999</v>
      </c>
      <c r="K104">
        <v>4.8499944529999999</v>
      </c>
      <c r="L104">
        <f t="shared" si="2"/>
        <v>-1.9051504227136811</v>
      </c>
      <c r="M104">
        <f t="shared" si="3"/>
        <v>1.5789775612373975</v>
      </c>
    </row>
    <row r="105" spans="1:13">
      <c r="A105" t="s">
        <v>123</v>
      </c>
      <c r="B105" t="s">
        <v>12</v>
      </c>
      <c r="C105">
        <v>0.276519562</v>
      </c>
      <c r="D105">
        <v>475</v>
      </c>
      <c r="E105">
        <v>799.21856609999998</v>
      </c>
      <c r="F105">
        <v>73984</v>
      </c>
      <c r="G105">
        <v>7768.3629840000003</v>
      </c>
      <c r="H105">
        <v>1329</v>
      </c>
      <c r="I105">
        <v>0.66790088000000003</v>
      </c>
      <c r="J105">
        <v>0.91535249699999999</v>
      </c>
      <c r="K105">
        <v>11.801019220000001</v>
      </c>
      <c r="L105">
        <f t="shared" si="2"/>
        <v>-8.8446045270551513E-2</v>
      </c>
      <c r="M105">
        <f t="shared" si="3"/>
        <v>2.4681859023178214</v>
      </c>
    </row>
    <row r="106" spans="1:13">
      <c r="A106" t="s">
        <v>124</v>
      </c>
      <c r="B106" t="s">
        <v>12</v>
      </c>
      <c r="C106">
        <v>0.30366659400000001</v>
      </c>
      <c r="D106">
        <v>143</v>
      </c>
      <c r="E106">
        <v>699.20414119999998</v>
      </c>
      <c r="F106">
        <v>55337</v>
      </c>
      <c r="G106">
        <v>17410.88437</v>
      </c>
      <c r="H106">
        <v>426</v>
      </c>
      <c r="I106">
        <v>0.78845836400000002</v>
      </c>
      <c r="J106">
        <v>0.63598024600000003</v>
      </c>
      <c r="K106">
        <v>2.8298590180000001</v>
      </c>
      <c r="L106">
        <f t="shared" si="2"/>
        <v>-0.45258777587280652</v>
      </c>
      <c r="M106">
        <f t="shared" si="3"/>
        <v>1.0402268934531096</v>
      </c>
    </row>
    <row r="107" spans="1:13">
      <c r="A107" t="s">
        <v>125</v>
      </c>
      <c r="B107" t="s">
        <v>12</v>
      </c>
      <c r="C107">
        <v>0.265914594</v>
      </c>
      <c r="D107">
        <v>472</v>
      </c>
      <c r="E107">
        <v>197.02771559999999</v>
      </c>
      <c r="F107">
        <v>90858</v>
      </c>
      <c r="G107">
        <v>1536.0121610000001</v>
      </c>
      <c r="H107">
        <v>1542</v>
      </c>
      <c r="I107">
        <v>0.69172691600000002</v>
      </c>
      <c r="J107">
        <v>1.9962231459999999</v>
      </c>
      <c r="K107">
        <v>30.666745410000001</v>
      </c>
      <c r="L107">
        <f t="shared" si="2"/>
        <v>0.69125696823368521</v>
      </c>
      <c r="M107">
        <f t="shared" si="3"/>
        <v>3.4231788560950251</v>
      </c>
    </row>
    <row r="108" spans="1:13">
      <c r="A108" t="s">
        <v>126</v>
      </c>
      <c r="B108" t="s">
        <v>12</v>
      </c>
      <c r="C108">
        <v>0.41323379100000002</v>
      </c>
      <c r="D108">
        <v>370</v>
      </c>
      <c r="E108">
        <v>600.35710240000003</v>
      </c>
      <c r="F108">
        <v>48567</v>
      </c>
      <c r="G108">
        <v>18336.340929999998</v>
      </c>
      <c r="H108">
        <v>999</v>
      </c>
      <c r="I108">
        <v>0.719277426</v>
      </c>
      <c r="J108">
        <v>0.22711384400000001</v>
      </c>
      <c r="K108">
        <v>7.255437401</v>
      </c>
      <c r="L108">
        <f t="shared" si="2"/>
        <v>-1.4823038717990589</v>
      </c>
      <c r="M108">
        <f t="shared" si="3"/>
        <v>1.9817511741121905</v>
      </c>
    </row>
    <row r="109" spans="1:13">
      <c r="A109" t="s">
        <v>127</v>
      </c>
      <c r="B109" t="s">
        <v>12</v>
      </c>
      <c r="C109">
        <v>0.23565187400000001</v>
      </c>
      <c r="D109">
        <v>528</v>
      </c>
      <c r="E109">
        <v>201.6621883</v>
      </c>
      <c r="F109">
        <v>33434</v>
      </c>
      <c r="G109">
        <v>1143.896166</v>
      </c>
      <c r="H109">
        <v>803</v>
      </c>
      <c r="I109">
        <v>0.70804472799999996</v>
      </c>
      <c r="J109">
        <v>5.4783043390000001</v>
      </c>
      <c r="K109">
        <v>31.272702639999999</v>
      </c>
      <c r="L109">
        <f t="shared" si="2"/>
        <v>1.7007956258876726</v>
      </c>
      <c r="M109">
        <f t="shared" si="3"/>
        <v>3.4427455969002989</v>
      </c>
    </row>
    <row r="110" spans="1:13">
      <c r="A110" t="s">
        <v>128</v>
      </c>
      <c r="B110" t="s">
        <v>12</v>
      </c>
      <c r="C110">
        <v>0.17127929</v>
      </c>
      <c r="D110">
        <v>422</v>
      </c>
      <c r="E110">
        <v>472.69115909999999</v>
      </c>
      <c r="F110">
        <v>32348</v>
      </c>
      <c r="G110">
        <v>2427.596732</v>
      </c>
      <c r="H110">
        <v>600</v>
      </c>
      <c r="I110">
        <v>0.63346264100000005</v>
      </c>
      <c r="J110">
        <v>2.245477696</v>
      </c>
      <c r="K110">
        <v>26.67585536</v>
      </c>
      <c r="L110">
        <f t="shared" si="2"/>
        <v>0.80891828074192784</v>
      </c>
      <c r="M110">
        <f t="shared" si="3"/>
        <v>3.2837588626530958</v>
      </c>
    </row>
    <row r="111" spans="1:13">
      <c r="A111" t="s">
        <v>129</v>
      </c>
      <c r="B111" t="s">
        <v>12</v>
      </c>
      <c r="C111">
        <v>0.230261465</v>
      </c>
      <c r="D111">
        <v>379</v>
      </c>
      <c r="E111">
        <v>394.1406053</v>
      </c>
      <c r="F111">
        <v>45968</v>
      </c>
      <c r="G111">
        <v>3488.0718200000001</v>
      </c>
      <c r="H111">
        <v>654</v>
      </c>
      <c r="I111">
        <v>0.64208331399999996</v>
      </c>
      <c r="J111">
        <v>1.283412255</v>
      </c>
      <c r="K111">
        <v>20.4962588</v>
      </c>
      <c r="L111">
        <f t="shared" si="2"/>
        <v>0.24952235514329282</v>
      </c>
      <c r="M111">
        <f t="shared" si="3"/>
        <v>3.0202423719286808</v>
      </c>
    </row>
    <row r="112" spans="1:13">
      <c r="A112" t="s">
        <v>130</v>
      </c>
      <c r="B112" t="s">
        <v>131</v>
      </c>
      <c r="C112">
        <v>0.44704292000000001</v>
      </c>
      <c r="D112">
        <v>266</v>
      </c>
      <c r="E112">
        <v>196.77860039999999</v>
      </c>
      <c r="F112">
        <v>51627</v>
      </c>
      <c r="G112">
        <v>30141.67715</v>
      </c>
      <c r="H112">
        <v>179</v>
      </c>
      <c r="I112">
        <v>0.856954141</v>
      </c>
      <c r="J112">
        <v>0.213076829</v>
      </c>
      <c r="K112">
        <v>1.2829065239999999</v>
      </c>
      <c r="L112">
        <f t="shared" si="2"/>
        <v>-1.5461024787786326</v>
      </c>
      <c r="M112">
        <f t="shared" si="3"/>
        <v>0.24912822561372305</v>
      </c>
    </row>
    <row r="113" spans="1:13">
      <c r="A113" t="s">
        <v>132</v>
      </c>
      <c r="B113" t="s">
        <v>131</v>
      </c>
      <c r="C113">
        <v>0.53028949700000005</v>
      </c>
      <c r="D113">
        <v>125</v>
      </c>
      <c r="E113">
        <v>175.785314</v>
      </c>
      <c r="F113">
        <v>80253</v>
      </c>
      <c r="G113">
        <v>33459.038589999996</v>
      </c>
      <c r="H113">
        <v>312</v>
      </c>
      <c r="I113">
        <v>0.86238150400000002</v>
      </c>
      <c r="J113">
        <v>0.231209</v>
      </c>
      <c r="K113">
        <v>2.206019725</v>
      </c>
      <c r="L113">
        <f t="shared" si="2"/>
        <v>-1.4644332156059237</v>
      </c>
      <c r="M113">
        <f t="shared" si="3"/>
        <v>0.79118986231445432</v>
      </c>
    </row>
    <row r="114" spans="1:13">
      <c r="A114" t="s">
        <v>133</v>
      </c>
      <c r="B114" t="s">
        <v>131</v>
      </c>
      <c r="C114">
        <v>0.50246327800000001</v>
      </c>
      <c r="D114">
        <v>164</v>
      </c>
      <c r="E114">
        <v>233.48615960000001</v>
      </c>
      <c r="F114">
        <v>53800</v>
      </c>
      <c r="G114">
        <v>39877.740010000001</v>
      </c>
      <c r="H114">
        <v>174</v>
      </c>
      <c r="I114">
        <v>0.89116761700000002</v>
      </c>
      <c r="J114">
        <v>0.37719777599999998</v>
      </c>
      <c r="K114">
        <v>2.2901749499999999</v>
      </c>
      <c r="L114">
        <f t="shared" si="2"/>
        <v>-0.97498562431656866</v>
      </c>
      <c r="M114">
        <f t="shared" si="3"/>
        <v>0.82862821202792969</v>
      </c>
    </row>
    <row r="115" spans="1:13">
      <c r="A115" t="s">
        <v>134</v>
      </c>
      <c r="B115" t="s">
        <v>131</v>
      </c>
      <c r="C115">
        <v>0.52103927900000002</v>
      </c>
      <c r="D115">
        <v>240</v>
      </c>
      <c r="E115">
        <v>163.93118150000001</v>
      </c>
      <c r="F115">
        <v>79846</v>
      </c>
      <c r="G115">
        <v>20607.312399999999</v>
      </c>
      <c r="H115">
        <v>464</v>
      </c>
      <c r="I115">
        <v>0.76673076500000004</v>
      </c>
      <c r="J115">
        <v>0.210216717</v>
      </c>
      <c r="K115">
        <v>3.9096785870000001</v>
      </c>
      <c r="L115">
        <f t="shared" si="2"/>
        <v>-1.5596162946815701</v>
      </c>
      <c r="M115">
        <f t="shared" si="3"/>
        <v>1.3634551678051388</v>
      </c>
    </row>
    <row r="116" spans="1:13">
      <c r="A116" t="s">
        <v>135</v>
      </c>
      <c r="B116" t="s">
        <v>131</v>
      </c>
      <c r="C116">
        <v>0.47628884700000002</v>
      </c>
      <c r="D116">
        <v>135</v>
      </c>
      <c r="E116">
        <v>216.85414739999999</v>
      </c>
      <c r="F116">
        <v>56556</v>
      </c>
      <c r="G116">
        <v>35280.009709999998</v>
      </c>
      <c r="H116">
        <v>218</v>
      </c>
      <c r="I116">
        <v>0.86342690499999997</v>
      </c>
      <c r="J116">
        <v>0.14887204900000001</v>
      </c>
      <c r="K116">
        <v>2.1602475970000001</v>
      </c>
      <c r="L116">
        <f t="shared" si="2"/>
        <v>-1.9046680735014521</v>
      </c>
      <c r="M116">
        <f t="shared" si="3"/>
        <v>0.77022284336749969</v>
      </c>
    </row>
    <row r="117" spans="1:13">
      <c r="A117" t="s">
        <v>136</v>
      </c>
      <c r="B117" t="s">
        <v>131</v>
      </c>
      <c r="C117">
        <v>0.41452138399999999</v>
      </c>
      <c r="D117">
        <v>47</v>
      </c>
      <c r="E117">
        <v>151.157297</v>
      </c>
      <c r="F117">
        <v>56279</v>
      </c>
      <c r="G117">
        <v>44656.842929999999</v>
      </c>
      <c r="H117">
        <v>189</v>
      </c>
      <c r="I117">
        <v>0.808039964</v>
      </c>
      <c r="J117">
        <v>0.343187507</v>
      </c>
      <c r="K117">
        <v>3.635268344</v>
      </c>
      <c r="L117">
        <f t="shared" si="2"/>
        <v>-1.0694783135460326</v>
      </c>
      <c r="M117">
        <f t="shared" si="3"/>
        <v>1.2906829305441083</v>
      </c>
    </row>
    <row r="118" spans="1:13">
      <c r="A118" t="s">
        <v>137</v>
      </c>
      <c r="B118" t="s">
        <v>131</v>
      </c>
      <c r="C118">
        <v>0.45193549999999999</v>
      </c>
      <c r="D118">
        <v>244</v>
      </c>
      <c r="E118">
        <v>275.653865</v>
      </c>
      <c r="F118">
        <v>51352</v>
      </c>
      <c r="G118">
        <v>32368.443139999999</v>
      </c>
      <c r="H118">
        <v>193</v>
      </c>
      <c r="I118">
        <v>0.88835087599999996</v>
      </c>
      <c r="J118">
        <v>0.11947856499999999</v>
      </c>
      <c r="K118">
        <v>0.63051649600000004</v>
      </c>
      <c r="L118">
        <f t="shared" si="2"/>
        <v>-2.1246182960846594</v>
      </c>
      <c r="M118">
        <f t="shared" si="3"/>
        <v>-0.46121596055700675</v>
      </c>
    </row>
    <row r="119" spans="1:13">
      <c r="A119" t="s">
        <v>138</v>
      </c>
      <c r="B119" t="s">
        <v>139</v>
      </c>
      <c r="C119">
        <v>0.136606487</v>
      </c>
      <c r="D119">
        <v>880</v>
      </c>
      <c r="E119">
        <v>140.7524999</v>
      </c>
      <c r="F119">
        <v>12125</v>
      </c>
      <c r="G119">
        <v>473.41292609999999</v>
      </c>
      <c r="H119">
        <v>2014</v>
      </c>
      <c r="I119">
        <v>0.22667241399999999</v>
      </c>
      <c r="J119">
        <v>16.61072382</v>
      </c>
      <c r="K119">
        <v>39.38264015</v>
      </c>
      <c r="L119">
        <f t="shared" si="2"/>
        <v>2.8100485000387723</v>
      </c>
      <c r="M119">
        <f t="shared" si="3"/>
        <v>3.6733251138788892</v>
      </c>
    </row>
    <row r="120" spans="1:13">
      <c r="A120" t="s">
        <v>140</v>
      </c>
      <c r="B120" t="s">
        <v>139</v>
      </c>
      <c r="C120">
        <v>0.13303004600000001</v>
      </c>
      <c r="D120">
        <v>262</v>
      </c>
      <c r="E120">
        <v>128.82972190000001</v>
      </c>
      <c r="F120">
        <v>10155</v>
      </c>
      <c r="G120">
        <v>959.30828970000005</v>
      </c>
      <c r="H120">
        <v>650</v>
      </c>
      <c r="I120">
        <v>0.272967079</v>
      </c>
      <c r="J120">
        <v>9.8479708469999991</v>
      </c>
      <c r="K120">
        <v>4.5336301260000003</v>
      </c>
      <c r="L120">
        <f t="shared" si="2"/>
        <v>2.2872654285812639</v>
      </c>
      <c r="M120">
        <f t="shared" si="3"/>
        <v>1.5115229709014855</v>
      </c>
    </row>
    <row r="121" spans="1:13">
      <c r="A121" t="s">
        <v>141</v>
      </c>
      <c r="B121" t="s">
        <v>139</v>
      </c>
      <c r="C121">
        <v>0.119230617</v>
      </c>
      <c r="D121">
        <v>244</v>
      </c>
      <c r="E121">
        <v>101.8276317</v>
      </c>
      <c r="F121">
        <v>10251</v>
      </c>
      <c r="G121">
        <v>698.41766129999996</v>
      </c>
      <c r="H121">
        <v>545</v>
      </c>
      <c r="I121">
        <v>0.15485205399999999</v>
      </c>
      <c r="J121">
        <v>44.567079470000003</v>
      </c>
      <c r="K121">
        <v>127.2596763</v>
      </c>
      <c r="L121">
        <f t="shared" si="2"/>
        <v>3.7969954579997323</v>
      </c>
      <c r="M121">
        <f t="shared" si="3"/>
        <v>4.8462296941899075</v>
      </c>
    </row>
    <row r="122" spans="1:13">
      <c r="A122" t="s">
        <v>142</v>
      </c>
      <c r="B122" t="s">
        <v>139</v>
      </c>
      <c r="C122">
        <v>0.21263331199999999</v>
      </c>
      <c r="D122">
        <v>565</v>
      </c>
      <c r="E122">
        <v>161.81648290000001</v>
      </c>
      <c r="F122">
        <v>15846</v>
      </c>
      <c r="G122">
        <v>1559.8176289999999</v>
      </c>
      <c r="H122">
        <v>850</v>
      </c>
      <c r="I122">
        <v>0.42878212100000002</v>
      </c>
      <c r="J122">
        <v>3.1776243929999999</v>
      </c>
      <c r="K122">
        <v>5.4324751620000002</v>
      </c>
      <c r="L122">
        <f t="shared" si="2"/>
        <v>1.1561338713875902</v>
      </c>
      <c r="M122">
        <f t="shared" si="3"/>
        <v>1.6923948610257085</v>
      </c>
    </row>
    <row r="123" spans="1:13">
      <c r="A123" t="s">
        <v>143</v>
      </c>
      <c r="B123" t="s">
        <v>139</v>
      </c>
      <c r="C123">
        <v>0.10737775300000001</v>
      </c>
      <c r="D123">
        <v>215</v>
      </c>
      <c r="E123">
        <v>73.095329559999996</v>
      </c>
      <c r="F123">
        <v>7886</v>
      </c>
      <c r="G123">
        <v>637.06279110000003</v>
      </c>
      <c r="H123">
        <v>395</v>
      </c>
      <c r="I123">
        <v>0.129065769</v>
      </c>
      <c r="J123">
        <v>29.100678169999998</v>
      </c>
      <c r="K123">
        <v>20.849981140000001</v>
      </c>
      <c r="L123">
        <f t="shared" si="2"/>
        <v>3.3707614787168905</v>
      </c>
      <c r="M123">
        <f t="shared" si="3"/>
        <v>3.0373530436880465</v>
      </c>
    </row>
    <row r="124" spans="1:13">
      <c r="A124" t="s">
        <v>144</v>
      </c>
      <c r="B124" t="s">
        <v>139</v>
      </c>
      <c r="C124">
        <v>0.165379945</v>
      </c>
      <c r="D124">
        <v>226</v>
      </c>
      <c r="E124">
        <v>69.431495400000003</v>
      </c>
      <c r="F124">
        <v>10087</v>
      </c>
      <c r="G124">
        <v>810.80406979999998</v>
      </c>
      <c r="H124">
        <v>442</v>
      </c>
      <c r="I124">
        <v>0.21302817299999999</v>
      </c>
      <c r="J124">
        <v>11.10589182</v>
      </c>
      <c r="K124">
        <v>148.38948339999999</v>
      </c>
      <c r="L124">
        <f t="shared" si="2"/>
        <v>2.4074757620912615</v>
      </c>
      <c r="M124">
        <f t="shared" si="3"/>
        <v>4.9998404616453058</v>
      </c>
    </row>
    <row r="125" spans="1:13">
      <c r="A125" t="s">
        <v>145</v>
      </c>
      <c r="B125" t="s">
        <v>139</v>
      </c>
      <c r="C125">
        <v>0.164627573</v>
      </c>
      <c r="D125">
        <v>756</v>
      </c>
      <c r="E125">
        <v>207.41712659999999</v>
      </c>
      <c r="F125">
        <v>8995</v>
      </c>
      <c r="G125">
        <v>1118.8777009999999</v>
      </c>
      <c r="H125">
        <v>958</v>
      </c>
      <c r="I125">
        <v>0.24530568999999999</v>
      </c>
      <c r="J125">
        <v>0.82655997000000003</v>
      </c>
      <c r="K125">
        <v>6.8562671560000004</v>
      </c>
      <c r="L125">
        <f t="shared" si="2"/>
        <v>-0.1904828053696678</v>
      </c>
      <c r="M125">
        <f t="shared" si="3"/>
        <v>1.9251631472807522</v>
      </c>
    </row>
    <row r="126" spans="1:13">
      <c r="A126" t="s">
        <v>146</v>
      </c>
      <c r="B126" t="s">
        <v>139</v>
      </c>
      <c r="C126">
        <v>0.11668621799999999</v>
      </c>
      <c r="D126">
        <v>654</v>
      </c>
      <c r="E126">
        <v>157.82670229999999</v>
      </c>
      <c r="F126">
        <v>10910</v>
      </c>
      <c r="G126">
        <v>702.172685</v>
      </c>
      <c r="H126">
        <v>990</v>
      </c>
      <c r="I126">
        <v>0.212234965</v>
      </c>
      <c r="J126">
        <v>6.1537786199999998</v>
      </c>
      <c r="K126">
        <v>3.6568473309999998</v>
      </c>
      <c r="L126">
        <f t="shared" si="2"/>
        <v>1.8170663029021272</v>
      </c>
      <c r="M126">
        <f t="shared" si="3"/>
        <v>1.2966013912353793</v>
      </c>
    </row>
    <row r="127" spans="1:13">
      <c r="A127" t="s">
        <v>147</v>
      </c>
      <c r="B127" t="s">
        <v>139</v>
      </c>
      <c r="C127">
        <v>0.15421572</v>
      </c>
      <c r="D127">
        <v>368</v>
      </c>
      <c r="E127">
        <v>70.027021619999999</v>
      </c>
      <c r="F127">
        <v>6997</v>
      </c>
      <c r="G127">
        <v>566.79837080000004</v>
      </c>
      <c r="H127">
        <v>640</v>
      </c>
      <c r="I127">
        <v>0.19782996799999999</v>
      </c>
      <c r="J127">
        <v>22.623985730000001</v>
      </c>
      <c r="K127">
        <v>5.3225743789999997</v>
      </c>
      <c r="L127">
        <f t="shared" si="2"/>
        <v>3.119010658967853</v>
      </c>
      <c r="M127">
        <f t="shared" si="3"/>
        <v>1.6719570921359534</v>
      </c>
    </row>
    <row r="128" spans="1:13">
      <c r="A128" t="s">
        <v>148</v>
      </c>
      <c r="B128" t="s">
        <v>139</v>
      </c>
      <c r="C128">
        <v>0.19877254</v>
      </c>
      <c r="D128">
        <v>126</v>
      </c>
      <c r="E128">
        <v>127.02598810000001</v>
      </c>
      <c r="F128">
        <v>13455</v>
      </c>
      <c r="G128">
        <v>2981.4863099999998</v>
      </c>
      <c r="H128">
        <v>334</v>
      </c>
      <c r="I128">
        <v>0.76422732699999996</v>
      </c>
      <c r="J128">
        <v>1.488861073</v>
      </c>
      <c r="K128">
        <v>6.6291717180000003</v>
      </c>
      <c r="L128">
        <f t="shared" si="2"/>
        <v>0.39801144713269687</v>
      </c>
      <c r="M128">
        <f t="shared" si="3"/>
        <v>1.8914798669816775</v>
      </c>
    </row>
    <row r="129" spans="1:13">
      <c r="A129" t="s">
        <v>149</v>
      </c>
      <c r="B129" t="s">
        <v>150</v>
      </c>
      <c r="C129">
        <v>0.44875178100000002</v>
      </c>
      <c r="D129">
        <v>106</v>
      </c>
      <c r="E129">
        <v>326.31318069999998</v>
      </c>
      <c r="F129">
        <v>46767</v>
      </c>
      <c r="G129">
        <v>36064.716390000001</v>
      </c>
      <c r="H129">
        <v>483</v>
      </c>
      <c r="I129">
        <v>0.87112583700000001</v>
      </c>
      <c r="J129">
        <v>0.182607295</v>
      </c>
      <c r="K129">
        <v>2.7226161150000001</v>
      </c>
      <c r="L129">
        <f t="shared" si="2"/>
        <v>-1.7004173609073387</v>
      </c>
      <c r="M129">
        <f t="shared" si="3"/>
        <v>1.0015932250532282</v>
      </c>
    </row>
    <row r="130" spans="1:13">
      <c r="A130" t="s">
        <v>151</v>
      </c>
      <c r="B130" t="s">
        <v>150</v>
      </c>
      <c r="C130">
        <v>0.73045825600000003</v>
      </c>
      <c r="D130">
        <v>87</v>
      </c>
      <c r="E130">
        <v>201.0208002</v>
      </c>
      <c r="F130">
        <v>52056</v>
      </c>
      <c r="G130">
        <v>34675.343999999997</v>
      </c>
      <c r="H130">
        <v>504</v>
      </c>
      <c r="I130">
        <v>0.87391280800000004</v>
      </c>
      <c r="J130">
        <v>0.21832146999999999</v>
      </c>
      <c r="K130">
        <v>5.1887242389999999</v>
      </c>
      <c r="L130">
        <f t="shared" si="2"/>
        <v>-1.5217866693691047</v>
      </c>
      <c r="M130">
        <f t="shared" si="3"/>
        <v>1.6464878555932156</v>
      </c>
    </row>
    <row r="131" spans="1:13">
      <c r="A131" t="s">
        <v>152</v>
      </c>
      <c r="B131" t="s">
        <v>150</v>
      </c>
      <c r="C131">
        <v>0.62969018899999996</v>
      </c>
      <c r="D131">
        <v>109</v>
      </c>
      <c r="E131">
        <v>271.18710900000002</v>
      </c>
      <c r="F131">
        <v>60867</v>
      </c>
      <c r="G131">
        <v>31974.46027</v>
      </c>
      <c r="H131">
        <v>592</v>
      </c>
      <c r="I131">
        <v>0.78383243800000002</v>
      </c>
      <c r="J131">
        <v>0.41256357100000002</v>
      </c>
      <c r="K131">
        <v>4.6372198769999997</v>
      </c>
      <c r="L131">
        <f t="shared" ref="L131:L194" si="4">LN(J131)</f>
        <v>-0.88536497356620947</v>
      </c>
      <c r="M131">
        <f t="shared" ref="M131:M194" si="5">LN(K131)</f>
        <v>1.534115022227764</v>
      </c>
    </row>
    <row r="132" spans="1:13">
      <c r="A132" t="s">
        <v>153</v>
      </c>
      <c r="B132" t="s">
        <v>150</v>
      </c>
      <c r="C132">
        <v>0.477582073</v>
      </c>
      <c r="D132">
        <v>59</v>
      </c>
      <c r="E132">
        <v>247.7030886</v>
      </c>
      <c r="F132">
        <v>43390</v>
      </c>
      <c r="G132">
        <v>32663.514439999999</v>
      </c>
      <c r="H132">
        <v>1100</v>
      </c>
      <c r="I132">
        <v>0.81422616999999997</v>
      </c>
      <c r="J132">
        <v>0.29077156500000001</v>
      </c>
      <c r="K132">
        <v>9.1330362019999995</v>
      </c>
      <c r="L132">
        <f t="shared" si="4"/>
        <v>-1.2352173200844851</v>
      </c>
      <c r="M132">
        <f t="shared" si="5"/>
        <v>2.2118981915689804</v>
      </c>
    </row>
    <row r="133" spans="1:13">
      <c r="A133" t="s">
        <v>154</v>
      </c>
      <c r="B133" t="s">
        <v>150</v>
      </c>
      <c r="C133">
        <v>0.56261846999999998</v>
      </c>
      <c r="D133">
        <v>99</v>
      </c>
      <c r="E133">
        <v>262.4937956</v>
      </c>
      <c r="F133">
        <v>58072</v>
      </c>
      <c r="G133">
        <v>34123.48244</v>
      </c>
      <c r="H133">
        <v>701</v>
      </c>
      <c r="I133">
        <v>0.86515984999999995</v>
      </c>
      <c r="J133">
        <v>0.33276512200000002</v>
      </c>
      <c r="K133">
        <v>5.5616372829999996</v>
      </c>
      <c r="L133">
        <f t="shared" si="4"/>
        <v>-1.1003183772098559</v>
      </c>
      <c r="M133">
        <f t="shared" si="5"/>
        <v>1.7158925402728444</v>
      </c>
    </row>
    <row r="134" spans="1:13">
      <c r="A134" t="s">
        <v>155</v>
      </c>
      <c r="B134" t="s">
        <v>150</v>
      </c>
      <c r="C134">
        <v>0.43809763299999999</v>
      </c>
      <c r="D134">
        <v>86</v>
      </c>
      <c r="E134">
        <v>270.80073959999999</v>
      </c>
      <c r="F134">
        <v>77665</v>
      </c>
      <c r="G134">
        <v>30681.384890000001</v>
      </c>
      <c r="H134">
        <v>256</v>
      </c>
      <c r="I134">
        <v>0.85635194800000003</v>
      </c>
      <c r="J134">
        <v>0.20305417100000001</v>
      </c>
      <c r="K134">
        <v>2.8131632419999999</v>
      </c>
      <c r="L134">
        <f t="shared" si="4"/>
        <v>-1.5942824833223208</v>
      </c>
      <c r="M134">
        <f t="shared" si="5"/>
        <v>1.0343095591072975</v>
      </c>
    </row>
    <row r="135" spans="1:13">
      <c r="A135" t="s">
        <v>156</v>
      </c>
      <c r="B135" t="s">
        <v>150</v>
      </c>
      <c r="C135">
        <v>0.40370788200000002</v>
      </c>
      <c r="D135">
        <v>518</v>
      </c>
      <c r="E135">
        <v>610.7575928</v>
      </c>
      <c r="F135">
        <v>45738</v>
      </c>
      <c r="G135">
        <v>12682.35907</v>
      </c>
      <c r="H135">
        <v>1061</v>
      </c>
      <c r="I135">
        <v>0.76533912299999995</v>
      </c>
      <c r="J135">
        <v>1.4445719109999999</v>
      </c>
      <c r="K135">
        <v>15.11521211</v>
      </c>
      <c r="L135">
        <f t="shared" si="4"/>
        <v>0.36781302230878438</v>
      </c>
      <c r="M135">
        <f t="shared" si="5"/>
        <v>2.7157016612126808</v>
      </c>
    </row>
    <row r="136" spans="1:13">
      <c r="A136" t="s">
        <v>157</v>
      </c>
      <c r="B136" t="s">
        <v>150</v>
      </c>
      <c r="C136">
        <v>0.65903309899999996</v>
      </c>
      <c r="D136">
        <v>53</v>
      </c>
      <c r="E136">
        <v>205.7095549</v>
      </c>
      <c r="F136">
        <v>68249</v>
      </c>
      <c r="G136">
        <v>33926.133609999997</v>
      </c>
      <c r="H136">
        <v>240</v>
      </c>
      <c r="I136">
        <v>0.87536752600000001</v>
      </c>
      <c r="J136">
        <v>0.173611287</v>
      </c>
      <c r="K136">
        <v>1.431860497</v>
      </c>
      <c r="L136">
        <f t="shared" si="4"/>
        <v>-1.750936461588313</v>
      </c>
      <c r="M136">
        <f t="shared" si="5"/>
        <v>0.35897464549689406</v>
      </c>
    </row>
    <row r="137" spans="1:13">
      <c r="A137" t="s">
        <v>158</v>
      </c>
      <c r="B137" t="s">
        <v>150</v>
      </c>
      <c r="C137">
        <v>0.27862330800000001</v>
      </c>
      <c r="D137">
        <v>218</v>
      </c>
      <c r="E137">
        <v>116.1080558</v>
      </c>
      <c r="F137">
        <v>47317</v>
      </c>
      <c r="G137">
        <v>3653.492311</v>
      </c>
      <c r="H137">
        <v>391</v>
      </c>
      <c r="I137">
        <v>0.67300040999999999</v>
      </c>
      <c r="J137">
        <v>1.5181342849999999</v>
      </c>
      <c r="K137">
        <v>3.2663101000000001</v>
      </c>
      <c r="L137">
        <f t="shared" si="4"/>
        <v>0.41748213685275593</v>
      </c>
      <c r="M137">
        <f t="shared" si="5"/>
        <v>1.1836609379895631</v>
      </c>
    </row>
    <row r="138" spans="1:13">
      <c r="A138" t="s">
        <v>159</v>
      </c>
      <c r="B138" t="s">
        <v>150</v>
      </c>
      <c r="C138">
        <v>0.47203289100000001</v>
      </c>
      <c r="D138">
        <v>163</v>
      </c>
      <c r="E138">
        <v>277.2160829</v>
      </c>
      <c r="F138">
        <v>94073</v>
      </c>
      <c r="G138">
        <v>16999.466100000001</v>
      </c>
      <c r="H138">
        <v>437</v>
      </c>
      <c r="I138">
        <v>0.81918477199999995</v>
      </c>
      <c r="J138">
        <v>0.33389595100000002</v>
      </c>
      <c r="K138">
        <v>3.5066547250000002</v>
      </c>
      <c r="L138">
        <f t="shared" si="4"/>
        <v>-1.0969258584911985</v>
      </c>
      <c r="M138">
        <f t="shared" si="5"/>
        <v>1.2546625132174047</v>
      </c>
    </row>
    <row r="139" spans="1:13">
      <c r="A139" t="s">
        <v>160</v>
      </c>
      <c r="B139" t="s">
        <v>161</v>
      </c>
      <c r="C139">
        <v>0.28335818000000002</v>
      </c>
      <c r="D139">
        <v>461</v>
      </c>
      <c r="E139">
        <v>523.88384429999996</v>
      </c>
      <c r="F139">
        <v>60700</v>
      </c>
      <c r="G139">
        <v>8324.1581320000005</v>
      </c>
      <c r="H139">
        <v>847</v>
      </c>
      <c r="I139">
        <v>0.80253447600000005</v>
      </c>
      <c r="J139">
        <v>1.554528578</v>
      </c>
      <c r="K139">
        <v>11.288812979999999</v>
      </c>
      <c r="L139">
        <f t="shared" si="4"/>
        <v>0.44117233439400411</v>
      </c>
      <c r="M139">
        <f t="shared" si="5"/>
        <v>2.4238122335729559</v>
      </c>
    </row>
    <row r="140" spans="1:13">
      <c r="A140" t="s">
        <v>162</v>
      </c>
      <c r="B140" t="s">
        <v>161</v>
      </c>
      <c r="C140">
        <v>0.23890603699999999</v>
      </c>
      <c r="D140">
        <v>422</v>
      </c>
      <c r="E140">
        <v>179.8178882</v>
      </c>
      <c r="F140">
        <v>41395</v>
      </c>
      <c r="G140">
        <v>2021.980125</v>
      </c>
      <c r="H140">
        <v>664</v>
      </c>
      <c r="I140">
        <v>0.67202998999999997</v>
      </c>
      <c r="J140">
        <v>1.388324785</v>
      </c>
      <c r="K140">
        <v>23.749147350000001</v>
      </c>
      <c r="L140">
        <f t="shared" si="4"/>
        <v>0.32809782966883516</v>
      </c>
      <c r="M140">
        <f t="shared" si="5"/>
        <v>3.1675466287835605</v>
      </c>
    </row>
    <row r="141" spans="1:13">
      <c r="A141" t="s">
        <v>163</v>
      </c>
      <c r="B141" t="s">
        <v>161</v>
      </c>
      <c r="C141">
        <v>0.30419086000000001</v>
      </c>
      <c r="D141">
        <v>113</v>
      </c>
      <c r="E141">
        <v>275.13188309999998</v>
      </c>
      <c r="F141">
        <v>61426</v>
      </c>
      <c r="G141">
        <v>13932.32396</v>
      </c>
      <c r="H141">
        <v>364</v>
      </c>
      <c r="I141">
        <v>0.83746976100000003</v>
      </c>
      <c r="J141">
        <v>0.59435410200000005</v>
      </c>
      <c r="K141">
        <v>7.1380593929999998</v>
      </c>
      <c r="L141">
        <f t="shared" si="4"/>
        <v>-0.52028000592204726</v>
      </c>
      <c r="M141">
        <f t="shared" si="5"/>
        <v>1.965440945711413</v>
      </c>
    </row>
    <row r="142" spans="1:13">
      <c r="A142" t="s">
        <v>164</v>
      </c>
      <c r="B142" t="s">
        <v>161</v>
      </c>
      <c r="C142">
        <v>0.20676286999999999</v>
      </c>
      <c r="D142">
        <v>589</v>
      </c>
      <c r="E142">
        <v>206.34576440000001</v>
      </c>
      <c r="F142">
        <v>38660</v>
      </c>
      <c r="G142">
        <v>1904.4186950000001</v>
      </c>
      <c r="H142">
        <v>1000</v>
      </c>
      <c r="I142">
        <v>0.58123570999999996</v>
      </c>
      <c r="J142">
        <v>1.0118281309999999</v>
      </c>
      <c r="K142">
        <v>24.714892169999999</v>
      </c>
      <c r="L142">
        <f t="shared" si="4"/>
        <v>1.1758725414683752E-2</v>
      </c>
      <c r="M142">
        <f t="shared" si="5"/>
        <v>3.2074059838119178</v>
      </c>
    </row>
    <row r="143" spans="1:13">
      <c r="A143" t="s">
        <v>165</v>
      </c>
      <c r="B143" t="s">
        <v>161</v>
      </c>
      <c r="C143">
        <v>0.32843978000000001</v>
      </c>
      <c r="D143">
        <v>589</v>
      </c>
      <c r="E143">
        <v>115.89222289999999</v>
      </c>
      <c r="F143">
        <v>36754</v>
      </c>
      <c r="G143">
        <v>1922.931865</v>
      </c>
      <c r="H143">
        <v>1081</v>
      </c>
      <c r="I143">
        <v>0.70510461499999999</v>
      </c>
      <c r="J143">
        <v>0.51809792099999996</v>
      </c>
      <c r="K143">
        <v>13.937731749999999</v>
      </c>
      <c r="L143">
        <f t="shared" si="4"/>
        <v>-0.6575910179082991</v>
      </c>
      <c r="M143">
        <f t="shared" si="5"/>
        <v>2.6345996768847875</v>
      </c>
    </row>
    <row r="144" spans="1:13">
      <c r="A144" t="s">
        <v>166</v>
      </c>
      <c r="B144" t="s">
        <v>161</v>
      </c>
      <c r="C144">
        <v>0.27397064500000001</v>
      </c>
      <c r="D144">
        <v>635</v>
      </c>
      <c r="E144">
        <v>477.82601149999999</v>
      </c>
      <c r="F144">
        <v>53767</v>
      </c>
      <c r="G144">
        <v>5262.2181689999998</v>
      </c>
      <c r="H144">
        <v>1029</v>
      </c>
      <c r="I144">
        <v>0.75947839299999997</v>
      </c>
      <c r="J144">
        <v>0.80844231499999997</v>
      </c>
      <c r="K144">
        <v>8.0999492360000005</v>
      </c>
      <c r="L144">
        <f t="shared" si="4"/>
        <v>-0.21264595068601161</v>
      </c>
      <c r="M144">
        <f t="shared" si="5"/>
        <v>2.0918577944982606</v>
      </c>
    </row>
    <row r="145" spans="1:13">
      <c r="A145" t="s">
        <v>167</v>
      </c>
      <c r="B145" t="s">
        <v>161</v>
      </c>
      <c r="C145">
        <v>0.202716586</v>
      </c>
      <c r="D145">
        <v>269</v>
      </c>
      <c r="E145">
        <v>445.02739489999999</v>
      </c>
      <c r="F145">
        <v>30503</v>
      </c>
      <c r="G145">
        <v>6110.4022770000001</v>
      </c>
      <c r="H145">
        <v>1377</v>
      </c>
      <c r="I145">
        <v>0.72186339700000002</v>
      </c>
      <c r="J145">
        <v>0.48947794300000003</v>
      </c>
      <c r="K145">
        <v>6.2753703359999999</v>
      </c>
      <c r="L145">
        <f t="shared" si="4"/>
        <v>-0.71441587829239328</v>
      </c>
      <c r="M145">
        <f t="shared" si="5"/>
        <v>1.8366325009656153</v>
      </c>
    </row>
    <row r="146" spans="1:13">
      <c r="A146" t="s">
        <v>168</v>
      </c>
      <c r="B146" t="s">
        <v>161</v>
      </c>
      <c r="C146">
        <v>0.34647295</v>
      </c>
      <c r="D146">
        <v>711</v>
      </c>
      <c r="E146">
        <v>557.48519120000003</v>
      </c>
      <c r="F146">
        <v>45788</v>
      </c>
      <c r="G146">
        <v>9263.394241</v>
      </c>
      <c r="H146">
        <v>1037</v>
      </c>
      <c r="I146">
        <v>0.75411082299999999</v>
      </c>
      <c r="J146">
        <v>0.67998340499999999</v>
      </c>
      <c r="K146">
        <v>10.321834239999999</v>
      </c>
      <c r="L146">
        <f t="shared" si="4"/>
        <v>-0.3856868855215419</v>
      </c>
      <c r="M146">
        <f t="shared" si="5"/>
        <v>2.3342614806942765</v>
      </c>
    </row>
    <row r="147" spans="1:13">
      <c r="A147" t="s">
        <v>169</v>
      </c>
      <c r="B147" t="s">
        <v>161</v>
      </c>
      <c r="C147">
        <v>0.27915799400000002</v>
      </c>
      <c r="D147">
        <v>241</v>
      </c>
      <c r="E147">
        <v>277.6187731</v>
      </c>
      <c r="F147">
        <v>60107</v>
      </c>
      <c r="G147">
        <v>8008.8777620000001</v>
      </c>
      <c r="H147">
        <v>507</v>
      </c>
      <c r="I147">
        <v>0.84369744800000002</v>
      </c>
      <c r="J147">
        <v>0.67528776199999996</v>
      </c>
      <c r="K147">
        <v>3.293343949</v>
      </c>
      <c r="L147">
        <f t="shared" si="4"/>
        <v>-0.39261636488155971</v>
      </c>
      <c r="M147">
        <f t="shared" si="5"/>
        <v>1.1919034464670384</v>
      </c>
    </row>
    <row r="148" spans="1:13">
      <c r="A148" t="s">
        <v>170</v>
      </c>
      <c r="B148" t="s">
        <v>161</v>
      </c>
      <c r="C148">
        <v>0.24253322299999999</v>
      </c>
      <c r="D148">
        <v>633</v>
      </c>
      <c r="E148">
        <v>270.80973119999999</v>
      </c>
      <c r="F148">
        <v>34676</v>
      </c>
      <c r="G148">
        <v>2051.771334</v>
      </c>
      <c r="H148">
        <v>971</v>
      </c>
      <c r="I148">
        <v>0.71861486100000005</v>
      </c>
      <c r="J148">
        <v>0.599290086</v>
      </c>
      <c r="K148">
        <v>4.3546360030000004</v>
      </c>
      <c r="L148">
        <f t="shared" si="4"/>
        <v>-0.51200951428790031</v>
      </c>
      <c r="M148">
        <f t="shared" si="5"/>
        <v>1.4712410254106574</v>
      </c>
    </row>
    <row r="149" spans="1:13">
      <c r="A149" t="s">
        <v>171</v>
      </c>
      <c r="B149" t="s">
        <v>161</v>
      </c>
      <c r="C149">
        <v>0.19301619</v>
      </c>
      <c r="D149">
        <v>425</v>
      </c>
      <c r="E149">
        <v>171.06025779999999</v>
      </c>
      <c r="F149">
        <v>41311</v>
      </c>
      <c r="G149">
        <v>1403.2997620000001</v>
      </c>
      <c r="H149">
        <v>673</v>
      </c>
      <c r="I149">
        <v>0.45473729899999998</v>
      </c>
      <c r="J149">
        <v>2.746893783</v>
      </c>
      <c r="K149">
        <v>11.715490340000001</v>
      </c>
      <c r="L149">
        <f t="shared" si="4"/>
        <v>1.0104707398202446</v>
      </c>
      <c r="M149">
        <f t="shared" si="5"/>
        <v>2.4609119268243358</v>
      </c>
    </row>
    <row r="150" spans="1:13">
      <c r="A150" t="s">
        <v>172</v>
      </c>
      <c r="B150" t="s">
        <v>173</v>
      </c>
      <c r="C150">
        <v>0.36545001700000002</v>
      </c>
      <c r="D150">
        <v>51</v>
      </c>
      <c r="E150">
        <v>229.31544959999999</v>
      </c>
      <c r="F150">
        <v>39166</v>
      </c>
      <c r="G150">
        <v>28638.52966</v>
      </c>
      <c r="H150">
        <v>84</v>
      </c>
      <c r="I150">
        <v>0.85416601299999995</v>
      </c>
      <c r="J150">
        <v>0.306127869</v>
      </c>
      <c r="K150">
        <v>1.0359530990000001</v>
      </c>
      <c r="L150">
        <f t="shared" si="4"/>
        <v>-1.1837523917651553</v>
      </c>
      <c r="M150">
        <f t="shared" si="5"/>
        <v>3.5321871576996865E-2</v>
      </c>
    </row>
    <row r="151" spans="1:13">
      <c r="A151" t="s">
        <v>174</v>
      </c>
      <c r="B151" t="s">
        <v>173</v>
      </c>
      <c r="C151">
        <v>0.50147754099999997</v>
      </c>
      <c r="D151">
        <v>138</v>
      </c>
      <c r="E151">
        <v>299.21820300000002</v>
      </c>
      <c r="F151">
        <v>63530</v>
      </c>
      <c r="G151">
        <v>29318.39201</v>
      </c>
      <c r="H151">
        <v>138</v>
      </c>
      <c r="I151">
        <v>0.87074315599999996</v>
      </c>
      <c r="J151">
        <v>0.80053764699999996</v>
      </c>
      <c r="K151">
        <v>4.4116772839999996</v>
      </c>
      <c r="L151">
        <f t="shared" si="4"/>
        <v>-0.22247171829456114</v>
      </c>
      <c r="M151">
        <f t="shared" si="5"/>
        <v>1.4842549536570955</v>
      </c>
    </row>
    <row r="152" spans="1:13">
      <c r="A152" t="s">
        <v>175</v>
      </c>
      <c r="B152" t="s">
        <v>173</v>
      </c>
      <c r="C152">
        <v>0.62447978000000004</v>
      </c>
      <c r="D152">
        <v>139</v>
      </c>
      <c r="E152">
        <v>144.1339782</v>
      </c>
      <c r="F152">
        <v>166022</v>
      </c>
      <c r="G152">
        <v>21958.736420000001</v>
      </c>
      <c r="H152">
        <v>227</v>
      </c>
      <c r="I152">
        <v>0.85972325900000002</v>
      </c>
      <c r="J152">
        <v>0.18570658200000001</v>
      </c>
      <c r="K152">
        <v>1.7028721659999999</v>
      </c>
      <c r="L152">
        <f t="shared" si="4"/>
        <v>-1.6835873669866666</v>
      </c>
      <c r="M152">
        <f t="shared" si="5"/>
        <v>0.53231633485841023</v>
      </c>
    </row>
    <row r="153" spans="1:13">
      <c r="A153" t="s">
        <v>176</v>
      </c>
      <c r="B153" t="s">
        <v>173</v>
      </c>
      <c r="C153">
        <v>0.36221704399999999</v>
      </c>
      <c r="D153">
        <v>234</v>
      </c>
      <c r="E153">
        <v>318.18566140000001</v>
      </c>
      <c r="F153">
        <v>68386</v>
      </c>
      <c r="G153">
        <v>13494.539989999999</v>
      </c>
      <c r="H153">
        <v>340</v>
      </c>
      <c r="I153">
        <v>0.88620243899999995</v>
      </c>
      <c r="J153">
        <v>0.53105732100000003</v>
      </c>
      <c r="K153">
        <v>7.0446419059999998</v>
      </c>
      <c r="L153">
        <f t="shared" si="4"/>
        <v>-0.63288531441374629</v>
      </c>
      <c r="M153">
        <f t="shared" si="5"/>
        <v>1.9522673145342939</v>
      </c>
    </row>
    <row r="154" spans="1:13">
      <c r="A154" t="s">
        <v>177</v>
      </c>
      <c r="B154" t="s">
        <v>173</v>
      </c>
      <c r="C154">
        <v>0.71255596200000004</v>
      </c>
      <c r="D154">
        <v>147</v>
      </c>
      <c r="E154">
        <v>105.60048279999999</v>
      </c>
      <c r="F154">
        <v>68389</v>
      </c>
      <c r="G154">
        <v>14542.01958</v>
      </c>
      <c r="H154">
        <v>350</v>
      </c>
      <c r="I154">
        <v>0.86581351600000001</v>
      </c>
      <c r="J154">
        <v>0.222606265</v>
      </c>
      <c r="K154">
        <v>1.270905231</v>
      </c>
      <c r="L154">
        <f t="shared" si="4"/>
        <v>-1.5023506958826578</v>
      </c>
      <c r="M154">
        <f t="shared" si="5"/>
        <v>0.23972942687821805</v>
      </c>
    </row>
    <row r="155" spans="1:13">
      <c r="A155" t="s">
        <v>178</v>
      </c>
      <c r="B155" t="s">
        <v>173</v>
      </c>
      <c r="C155">
        <v>0.50880878399999996</v>
      </c>
      <c r="D155">
        <v>90</v>
      </c>
      <c r="E155">
        <v>221.5788216</v>
      </c>
      <c r="F155">
        <v>101069</v>
      </c>
      <c r="G155">
        <v>36565.127769999999</v>
      </c>
      <c r="H155">
        <v>116</v>
      </c>
      <c r="I155">
        <v>0.91307867899999995</v>
      </c>
      <c r="J155">
        <v>0.233110013</v>
      </c>
      <c r="K155">
        <v>1.086767512</v>
      </c>
      <c r="L155">
        <f t="shared" si="4"/>
        <v>-1.4562447780500443</v>
      </c>
      <c r="M155">
        <f t="shared" si="5"/>
        <v>8.3207704858612966E-2</v>
      </c>
    </row>
    <row r="156" spans="1:13">
      <c r="A156" t="s">
        <v>179</v>
      </c>
      <c r="B156" t="s">
        <v>173</v>
      </c>
      <c r="C156">
        <v>0.30671783800000002</v>
      </c>
      <c r="D156">
        <v>50</v>
      </c>
      <c r="E156">
        <v>450.19842349999999</v>
      </c>
      <c r="F156">
        <v>50091</v>
      </c>
      <c r="G156">
        <v>36620.328280000002</v>
      </c>
      <c r="H156">
        <v>165</v>
      </c>
      <c r="I156">
        <v>0.89248698500000001</v>
      </c>
      <c r="J156">
        <v>0.54623366299999998</v>
      </c>
      <c r="K156">
        <v>1.0241392410000001</v>
      </c>
      <c r="L156">
        <f t="shared" si="4"/>
        <v>-0.60470844057106432</v>
      </c>
      <c r="M156">
        <f t="shared" si="5"/>
        <v>2.3852494912271049E-2</v>
      </c>
    </row>
    <row r="157" spans="1:13">
      <c r="A157" t="s">
        <v>180</v>
      </c>
      <c r="B157" t="s">
        <v>173</v>
      </c>
      <c r="C157">
        <v>0.38711994700000002</v>
      </c>
      <c r="D157">
        <v>347</v>
      </c>
      <c r="E157">
        <v>423.57290060000003</v>
      </c>
      <c r="F157">
        <v>32329</v>
      </c>
      <c r="G157">
        <v>14382.39914</v>
      </c>
      <c r="H157">
        <v>569</v>
      </c>
      <c r="I157">
        <v>0.84403434700000002</v>
      </c>
      <c r="J157">
        <v>0.64403819500000004</v>
      </c>
      <c r="K157">
        <v>7.4085316060000004</v>
      </c>
      <c r="L157">
        <f t="shared" si="4"/>
        <v>-0.43999724563028175</v>
      </c>
      <c r="M157">
        <f t="shared" si="5"/>
        <v>2.0026322558382903</v>
      </c>
    </row>
    <row r="158" spans="1:13">
      <c r="A158" t="s">
        <v>181</v>
      </c>
      <c r="B158" t="s">
        <v>173</v>
      </c>
      <c r="C158">
        <v>0.59269856200000004</v>
      </c>
      <c r="D158">
        <v>94</v>
      </c>
      <c r="E158">
        <v>230.39289099999999</v>
      </c>
      <c r="F158">
        <v>59955</v>
      </c>
      <c r="G158">
        <v>39048.36752</v>
      </c>
      <c r="H158">
        <v>109</v>
      </c>
      <c r="I158">
        <v>0.91267569800000004</v>
      </c>
      <c r="J158">
        <v>0.32988484699999998</v>
      </c>
      <c r="K158">
        <v>1.092879787</v>
      </c>
      <c r="L158">
        <f t="shared" si="4"/>
        <v>-1.1090116339031493</v>
      </c>
      <c r="M158">
        <f t="shared" si="5"/>
        <v>8.8816218699191166E-2</v>
      </c>
    </row>
    <row r="159" spans="1:13">
      <c r="A159" t="s">
        <v>182</v>
      </c>
      <c r="B159" t="s">
        <v>183</v>
      </c>
      <c r="C159">
        <v>0.23595068799999999</v>
      </c>
      <c r="D159">
        <v>720</v>
      </c>
      <c r="E159">
        <v>149.50612520000001</v>
      </c>
      <c r="F159">
        <v>17202</v>
      </c>
      <c r="G159">
        <v>951.52308870000002</v>
      </c>
      <c r="H159">
        <v>803</v>
      </c>
      <c r="I159">
        <v>0.59620630900000005</v>
      </c>
      <c r="J159">
        <v>1.8059377590000001</v>
      </c>
      <c r="K159">
        <v>4.5556510640000001</v>
      </c>
      <c r="L159">
        <f t="shared" si="4"/>
        <v>0.59107999094576569</v>
      </c>
      <c r="M159">
        <f t="shared" si="5"/>
        <v>1.5163684544166129</v>
      </c>
    </row>
    <row r="160" spans="1:13">
      <c r="A160" t="s">
        <v>184</v>
      </c>
      <c r="B160" t="s">
        <v>183</v>
      </c>
      <c r="C160">
        <v>0.22344609000000001</v>
      </c>
      <c r="D160">
        <v>626</v>
      </c>
      <c r="E160">
        <v>190.11761619999999</v>
      </c>
      <c r="F160">
        <v>27482</v>
      </c>
      <c r="G160">
        <v>1546.878328</v>
      </c>
      <c r="H160">
        <v>653</v>
      </c>
      <c r="I160">
        <v>0.33666735800000003</v>
      </c>
      <c r="J160">
        <v>3.8547024510000001</v>
      </c>
      <c r="K160">
        <v>24.547831630000001</v>
      </c>
      <c r="L160">
        <f t="shared" si="4"/>
        <v>1.3492938188223531</v>
      </c>
      <c r="M160">
        <f t="shared" si="5"/>
        <v>3.200623525696094</v>
      </c>
    </row>
    <row r="161" spans="1:13">
      <c r="A161" t="s">
        <v>185</v>
      </c>
      <c r="B161" t="s">
        <v>183</v>
      </c>
      <c r="C161">
        <v>0.26022857500000002</v>
      </c>
      <c r="D161">
        <v>708</v>
      </c>
      <c r="E161">
        <v>211.6180114</v>
      </c>
      <c r="F161">
        <v>64003</v>
      </c>
      <c r="G161">
        <v>1651.753273</v>
      </c>
      <c r="H161">
        <v>898</v>
      </c>
      <c r="I161">
        <v>0.64650824500000004</v>
      </c>
      <c r="J161">
        <v>0.58983882499999996</v>
      </c>
      <c r="K161">
        <v>5.2213518710000004</v>
      </c>
      <c r="L161">
        <f t="shared" si="4"/>
        <v>-0.52790595736837109</v>
      </c>
      <c r="M161">
        <f t="shared" si="5"/>
        <v>1.6527563474840181</v>
      </c>
    </row>
    <row r="162" spans="1:13">
      <c r="A162" t="s">
        <v>186</v>
      </c>
      <c r="B162" t="s">
        <v>183</v>
      </c>
      <c r="C162">
        <v>0.14361695499999999</v>
      </c>
      <c r="D162">
        <v>1870</v>
      </c>
      <c r="E162">
        <v>216.842129</v>
      </c>
      <c r="F162">
        <v>30352</v>
      </c>
      <c r="G162">
        <v>494.28144270000001</v>
      </c>
      <c r="H162">
        <v>1520</v>
      </c>
      <c r="I162">
        <v>0.14037902899999999</v>
      </c>
      <c r="J162">
        <v>4.4147011090000001</v>
      </c>
      <c r="K162">
        <v>143.06165590000001</v>
      </c>
      <c r="L162">
        <f t="shared" si="4"/>
        <v>1.4849401327834966</v>
      </c>
      <c r="M162">
        <f t="shared" si="5"/>
        <v>4.9632756974769432</v>
      </c>
    </row>
    <row r="163" spans="1:13">
      <c r="A163" t="s">
        <v>187</v>
      </c>
      <c r="B163" t="s">
        <v>183</v>
      </c>
      <c r="C163">
        <v>0.165502861</v>
      </c>
      <c r="D163">
        <v>815</v>
      </c>
      <c r="E163">
        <v>158.7927119</v>
      </c>
      <c r="F163">
        <v>15826</v>
      </c>
      <c r="G163">
        <v>819.73473650000005</v>
      </c>
      <c r="H163">
        <v>890</v>
      </c>
      <c r="I163">
        <v>0.34307322099999998</v>
      </c>
      <c r="J163">
        <v>4.0915297050000001</v>
      </c>
      <c r="K163">
        <v>47.314873759999998</v>
      </c>
      <c r="L163">
        <f t="shared" si="4"/>
        <v>1.4089189111324749</v>
      </c>
      <c r="M163">
        <f t="shared" si="5"/>
        <v>3.8568247018809734</v>
      </c>
    </row>
    <row r="164" spans="1:13">
      <c r="A164" t="s">
        <v>188</v>
      </c>
      <c r="B164" t="s">
        <v>183</v>
      </c>
      <c r="C164">
        <v>0.27195750699999999</v>
      </c>
      <c r="D164">
        <v>400</v>
      </c>
      <c r="E164">
        <v>172.93380070000001</v>
      </c>
      <c r="F164">
        <v>23916</v>
      </c>
      <c r="G164">
        <v>3226.6156980000001</v>
      </c>
      <c r="H164">
        <v>555</v>
      </c>
      <c r="I164">
        <v>0.53285154999999995</v>
      </c>
      <c r="J164">
        <v>2.8791937879999998</v>
      </c>
      <c r="K164">
        <v>26.045454679999999</v>
      </c>
      <c r="L164">
        <f t="shared" si="4"/>
        <v>1.0575103202365941</v>
      </c>
      <c r="M164">
        <f t="shared" si="5"/>
        <v>3.2598432685222178</v>
      </c>
    </row>
    <row r="165" spans="1:13">
      <c r="A165" t="s">
        <v>189</v>
      </c>
      <c r="B165" t="s">
        <v>183</v>
      </c>
      <c r="C165">
        <v>0.205131436</v>
      </c>
      <c r="D165">
        <v>1902</v>
      </c>
      <c r="E165">
        <v>174.64987210000001</v>
      </c>
      <c r="F165">
        <v>11101</v>
      </c>
      <c r="G165">
        <v>569.80374510000001</v>
      </c>
      <c r="H165">
        <v>1230</v>
      </c>
      <c r="I165">
        <v>0.14439650800000001</v>
      </c>
      <c r="J165">
        <v>19.317507719999998</v>
      </c>
      <c r="K165">
        <v>181.6081926</v>
      </c>
      <c r="L165">
        <f t="shared" si="4"/>
        <v>2.9610118204631561</v>
      </c>
      <c r="M165">
        <f t="shared" si="5"/>
        <v>5.2018515785857362</v>
      </c>
    </row>
    <row r="166" spans="1:13">
      <c r="A166" t="s">
        <v>190</v>
      </c>
      <c r="B166" t="s">
        <v>183</v>
      </c>
      <c r="C166">
        <v>0.22013100599999999</v>
      </c>
      <c r="D166">
        <v>465</v>
      </c>
      <c r="E166">
        <v>143.84638949999999</v>
      </c>
      <c r="F166">
        <v>38098</v>
      </c>
      <c r="G166">
        <v>1169.3079459999999</v>
      </c>
      <c r="H166">
        <v>923</v>
      </c>
      <c r="I166">
        <v>0.40379593200000002</v>
      </c>
      <c r="J166">
        <v>3.3225996819999999</v>
      </c>
      <c r="K166">
        <v>13.673228870000001</v>
      </c>
      <c r="L166">
        <f t="shared" si="4"/>
        <v>1.2007475132620564</v>
      </c>
      <c r="M166">
        <f t="shared" si="5"/>
        <v>2.6154398240151999</v>
      </c>
    </row>
    <row r="167" spans="1:13">
      <c r="A167" t="s">
        <v>191</v>
      </c>
      <c r="B167" t="s">
        <v>183</v>
      </c>
      <c r="C167">
        <v>0.244436814</v>
      </c>
      <c r="D167">
        <v>389</v>
      </c>
      <c r="E167">
        <v>76.454283430000004</v>
      </c>
      <c r="F167">
        <v>38098</v>
      </c>
      <c r="G167">
        <v>964.38535639999998</v>
      </c>
      <c r="H167">
        <v>325</v>
      </c>
      <c r="I167">
        <v>0.31900021000000001</v>
      </c>
      <c r="J167">
        <v>4.5820538089999996</v>
      </c>
      <c r="K167">
        <v>3.4077581970000002</v>
      </c>
      <c r="L167">
        <f t="shared" si="4"/>
        <v>1.522147327524112</v>
      </c>
      <c r="M167">
        <f t="shared" si="5"/>
        <v>1.2260546548653795</v>
      </c>
    </row>
    <row r="168" spans="1:13">
      <c r="A168" t="s">
        <v>192</v>
      </c>
      <c r="B168" t="s">
        <v>183</v>
      </c>
      <c r="C168">
        <v>0.158049518</v>
      </c>
      <c r="D168">
        <v>1883</v>
      </c>
      <c r="E168">
        <v>203.0739557</v>
      </c>
      <c r="F168">
        <v>30089</v>
      </c>
      <c r="G168">
        <v>567.02790270000003</v>
      </c>
      <c r="H168">
        <v>804</v>
      </c>
      <c r="I168">
        <v>0.11337425</v>
      </c>
      <c r="J168">
        <v>29.06321458</v>
      </c>
      <c r="K168">
        <v>138.154551</v>
      </c>
      <c r="L168">
        <f t="shared" si="4"/>
        <v>3.3694732707442272</v>
      </c>
      <c r="M168">
        <f t="shared" si="5"/>
        <v>4.9283729932806892</v>
      </c>
    </row>
    <row r="169" spans="1:13">
      <c r="A169" t="s">
        <v>193</v>
      </c>
      <c r="B169" t="s">
        <v>183</v>
      </c>
      <c r="C169">
        <v>0.195425091</v>
      </c>
      <c r="D169">
        <v>743</v>
      </c>
      <c r="E169">
        <v>127.4051049</v>
      </c>
      <c r="F169">
        <v>19287</v>
      </c>
      <c r="G169">
        <v>557.26970449999999</v>
      </c>
      <c r="H169">
        <v>835</v>
      </c>
      <c r="I169">
        <v>0.48427294500000001</v>
      </c>
      <c r="J169">
        <v>3.5161218339999998</v>
      </c>
      <c r="K169">
        <v>16.366822890000002</v>
      </c>
      <c r="L169">
        <f t="shared" si="4"/>
        <v>1.2573586305308926</v>
      </c>
      <c r="M169">
        <f t="shared" si="5"/>
        <v>2.7952562913006593</v>
      </c>
    </row>
    <row r="170" spans="1:13">
      <c r="A170" t="s">
        <v>194</v>
      </c>
      <c r="B170" t="s">
        <v>173</v>
      </c>
      <c r="C170">
        <v>0.59984218199999995</v>
      </c>
      <c r="D170">
        <v>81</v>
      </c>
      <c r="E170">
        <v>163.2473401</v>
      </c>
      <c r="F170">
        <v>75659</v>
      </c>
      <c r="G170">
        <v>26909.759470000001</v>
      </c>
      <c r="H170">
        <v>566</v>
      </c>
      <c r="I170">
        <v>0.85472835800000002</v>
      </c>
      <c r="J170">
        <v>1.156206595</v>
      </c>
      <c r="K170">
        <v>10.98854474</v>
      </c>
      <c r="L170">
        <f t="shared" si="4"/>
        <v>0.14514446968041531</v>
      </c>
      <c r="M170">
        <f t="shared" si="5"/>
        <v>2.3968533429051662</v>
      </c>
    </row>
    <row r="171" spans="1:13">
      <c r="A171" t="s">
        <v>195</v>
      </c>
      <c r="B171" t="s">
        <v>173</v>
      </c>
      <c r="C171">
        <v>0.57774399600000004</v>
      </c>
      <c r="D171">
        <v>52</v>
      </c>
      <c r="E171">
        <v>274.97577100000001</v>
      </c>
      <c r="F171">
        <v>75371</v>
      </c>
      <c r="G171">
        <v>49530.530100000004</v>
      </c>
      <c r="H171">
        <v>236</v>
      </c>
      <c r="I171">
        <v>0.87415142199999996</v>
      </c>
      <c r="J171">
        <v>6.1877852999999997E-2</v>
      </c>
      <c r="K171">
        <v>0.49288258699999998</v>
      </c>
      <c r="L171">
        <f t="shared" si="4"/>
        <v>-2.7825929500653652</v>
      </c>
      <c r="M171">
        <f t="shared" si="5"/>
        <v>-0.70748429354750908</v>
      </c>
    </row>
    <row r="172" spans="1:13">
      <c r="A172" t="s">
        <v>196</v>
      </c>
      <c r="B172" t="s">
        <v>173</v>
      </c>
      <c r="C172">
        <v>0.445376773</v>
      </c>
      <c r="D172">
        <v>65</v>
      </c>
      <c r="E172">
        <v>252.5290747</v>
      </c>
      <c r="F172">
        <v>76940</v>
      </c>
      <c r="G172">
        <v>36590.517200000002</v>
      </c>
      <c r="H172">
        <v>405</v>
      </c>
      <c r="I172">
        <v>0.88141184500000003</v>
      </c>
      <c r="J172">
        <v>0.11730286099999999</v>
      </c>
      <c r="K172">
        <v>0.79263939000000005</v>
      </c>
      <c r="L172">
        <f t="shared" si="4"/>
        <v>-2.1429961331683165</v>
      </c>
      <c r="M172">
        <f t="shared" si="5"/>
        <v>-0.23238690226157563</v>
      </c>
    </row>
    <row r="173" spans="1:13">
      <c r="A173" t="s">
        <v>197</v>
      </c>
      <c r="B173" t="s">
        <v>173</v>
      </c>
      <c r="C173">
        <v>0.58090409099999996</v>
      </c>
      <c r="D173">
        <v>74</v>
      </c>
      <c r="E173">
        <v>123.1313526</v>
      </c>
      <c r="F173">
        <v>70195</v>
      </c>
      <c r="G173">
        <v>30788.315009999998</v>
      </c>
      <c r="H173">
        <v>311</v>
      </c>
      <c r="I173">
        <v>0.85761635800000002</v>
      </c>
      <c r="J173">
        <v>0.52462395299999998</v>
      </c>
      <c r="K173">
        <v>4.8002438209999996</v>
      </c>
      <c r="L173">
        <f t="shared" si="4"/>
        <v>-0.64507355304159586</v>
      </c>
      <c r="M173">
        <f t="shared" si="5"/>
        <v>1.5686667126654366</v>
      </c>
    </row>
    <row r="174" spans="1:13">
      <c r="A174" t="s">
        <v>198</v>
      </c>
      <c r="B174" t="s">
        <v>173</v>
      </c>
      <c r="C174">
        <v>0.51476878400000003</v>
      </c>
      <c r="D174">
        <v>61</v>
      </c>
      <c r="E174">
        <v>133.84965009999999</v>
      </c>
      <c r="F174">
        <v>75498</v>
      </c>
      <c r="G174">
        <v>22803.095890000001</v>
      </c>
      <c r="H174">
        <v>517</v>
      </c>
      <c r="I174">
        <v>0.87916011199999999</v>
      </c>
      <c r="J174">
        <v>0.12688816</v>
      </c>
      <c r="K174">
        <v>1.104610106</v>
      </c>
      <c r="L174">
        <f t="shared" si="4"/>
        <v>-2.0644492104271306</v>
      </c>
      <c r="M174">
        <f t="shared" si="5"/>
        <v>9.9492427456315591E-2</v>
      </c>
    </row>
    <row r="175" spans="1:13">
      <c r="A175" t="s">
        <v>199</v>
      </c>
      <c r="B175" t="s">
        <v>23</v>
      </c>
      <c r="C175">
        <v>0.43783509700000001</v>
      </c>
      <c r="D175">
        <v>112</v>
      </c>
      <c r="E175">
        <v>423.20324210000001</v>
      </c>
      <c r="F175">
        <v>48096</v>
      </c>
      <c r="G175">
        <v>31325.12167</v>
      </c>
      <c r="H175">
        <v>249</v>
      </c>
      <c r="I175">
        <v>0.78057166099999997</v>
      </c>
      <c r="J175">
        <v>0.16809305899999999</v>
      </c>
      <c r="K175">
        <v>2.2219316930000002</v>
      </c>
      <c r="L175">
        <f t="shared" si="4"/>
        <v>-1.7832375303183345</v>
      </c>
      <c r="M175">
        <f t="shared" si="5"/>
        <v>0.79837694952079474</v>
      </c>
    </row>
    <row r="176" spans="1:13">
      <c r="A176" t="s">
        <v>200</v>
      </c>
      <c r="B176" t="s">
        <v>23</v>
      </c>
      <c r="C176">
        <v>0.65707162500000005</v>
      </c>
      <c r="D176">
        <v>247</v>
      </c>
      <c r="E176">
        <v>347.80425639999999</v>
      </c>
      <c r="F176">
        <v>49634</v>
      </c>
      <c r="G176">
        <v>30696.50663</v>
      </c>
      <c r="H176">
        <v>1099</v>
      </c>
      <c r="I176">
        <v>0.771389871</v>
      </c>
      <c r="J176">
        <v>0.93143621899999995</v>
      </c>
      <c r="K176">
        <v>14.861282810000001</v>
      </c>
      <c r="L176">
        <f t="shared" si="4"/>
        <v>-7.1027562567636329E-2</v>
      </c>
      <c r="M176">
        <f t="shared" si="5"/>
        <v>2.6987593619432482</v>
      </c>
    </row>
    <row r="177" spans="1:13">
      <c r="A177" t="s">
        <v>201</v>
      </c>
      <c r="B177" t="s">
        <v>23</v>
      </c>
      <c r="C177">
        <v>0.63999352099999995</v>
      </c>
      <c r="D177">
        <v>206</v>
      </c>
      <c r="E177">
        <v>304.9928476</v>
      </c>
      <c r="F177">
        <v>119280</v>
      </c>
      <c r="G177">
        <v>29476.563900000001</v>
      </c>
      <c r="H177">
        <v>761</v>
      </c>
      <c r="I177">
        <v>0.74237813900000005</v>
      </c>
      <c r="J177">
        <v>0.31804352000000002</v>
      </c>
      <c r="K177">
        <v>5.2937525059999997</v>
      </c>
      <c r="L177">
        <f t="shared" si="4"/>
        <v>-1.1455670502198867</v>
      </c>
      <c r="M177">
        <f t="shared" si="5"/>
        <v>1.6665273528065452</v>
      </c>
    </row>
    <row r="178" spans="1:13">
      <c r="A178" t="s">
        <v>202</v>
      </c>
      <c r="B178" t="s">
        <v>23</v>
      </c>
      <c r="C178">
        <v>0.61087398100000001</v>
      </c>
      <c r="D178">
        <v>168</v>
      </c>
      <c r="E178">
        <v>315.4201152</v>
      </c>
      <c r="F178">
        <v>90241</v>
      </c>
      <c r="G178">
        <v>25401.271919999999</v>
      </c>
      <c r="H178">
        <v>219</v>
      </c>
      <c r="I178">
        <v>0.685342852</v>
      </c>
      <c r="J178">
        <v>0.18653773200000001</v>
      </c>
      <c r="K178">
        <v>2.5182633320000001</v>
      </c>
      <c r="L178">
        <f t="shared" si="4"/>
        <v>-1.679121744007573</v>
      </c>
      <c r="M178">
        <f t="shared" si="5"/>
        <v>0.92356950997932485</v>
      </c>
    </row>
    <row r="179" spans="1:13">
      <c r="A179" t="s">
        <v>203</v>
      </c>
      <c r="B179" t="s">
        <v>23</v>
      </c>
      <c r="C179">
        <v>0.68098198899999995</v>
      </c>
      <c r="D179">
        <v>124</v>
      </c>
      <c r="E179">
        <v>333.41235610000001</v>
      </c>
      <c r="F179">
        <v>94902</v>
      </c>
      <c r="G179">
        <v>58131.202559999998</v>
      </c>
      <c r="H179">
        <v>178</v>
      </c>
      <c r="I179">
        <v>0.92154696800000002</v>
      </c>
      <c r="J179">
        <v>0.14956794900000001</v>
      </c>
      <c r="K179">
        <v>1.1814975299999999</v>
      </c>
      <c r="L179">
        <f t="shared" si="4"/>
        <v>-1.9000044810478307</v>
      </c>
      <c r="M179">
        <f t="shared" si="5"/>
        <v>0.16678272707979633</v>
      </c>
    </row>
    <row r="180" spans="1:13">
      <c r="A180" t="s">
        <v>204</v>
      </c>
      <c r="B180" t="s">
        <v>23</v>
      </c>
      <c r="C180">
        <v>0.72864417400000003</v>
      </c>
      <c r="D180">
        <v>85</v>
      </c>
      <c r="E180">
        <v>254.50291999999999</v>
      </c>
      <c r="F180">
        <v>83861</v>
      </c>
      <c r="G180">
        <v>44958.887710000003</v>
      </c>
      <c r="H180">
        <v>259</v>
      </c>
      <c r="I180">
        <v>0.88356575199999998</v>
      </c>
      <c r="J180">
        <v>0.32298600799999999</v>
      </c>
      <c r="K180">
        <v>4.6274789109999999</v>
      </c>
      <c r="L180">
        <f t="shared" si="4"/>
        <v>-1.1301462755832195</v>
      </c>
      <c r="M180">
        <f t="shared" si="5"/>
        <v>1.5320122081347636</v>
      </c>
    </row>
    <row r="181" spans="1:13">
      <c r="A181" t="s">
        <v>205</v>
      </c>
      <c r="B181" t="s">
        <v>39</v>
      </c>
      <c r="C181">
        <v>0.209350604</v>
      </c>
      <c r="D181">
        <v>597</v>
      </c>
      <c r="E181">
        <v>247.95520640000001</v>
      </c>
      <c r="F181">
        <v>27271</v>
      </c>
      <c r="G181">
        <v>1879.1787300000001</v>
      </c>
      <c r="H181">
        <v>1019</v>
      </c>
      <c r="I181">
        <v>0.49302106499999998</v>
      </c>
      <c r="J181">
        <v>1.7242786400000001</v>
      </c>
      <c r="K181">
        <v>12.1957583</v>
      </c>
      <c r="L181">
        <f t="shared" si="4"/>
        <v>0.54480878331165927</v>
      </c>
      <c r="M181">
        <f t="shared" si="5"/>
        <v>2.5010882109565236</v>
      </c>
    </row>
    <row r="182" spans="1:13">
      <c r="A182" t="s">
        <v>206</v>
      </c>
      <c r="B182" t="s">
        <v>39</v>
      </c>
      <c r="C182">
        <v>0.25115653399999999</v>
      </c>
      <c r="D182">
        <v>568</v>
      </c>
      <c r="E182">
        <v>125.3764127</v>
      </c>
      <c r="F182">
        <v>22469</v>
      </c>
      <c r="G182">
        <v>1435.003948</v>
      </c>
      <c r="H182">
        <v>461</v>
      </c>
      <c r="I182">
        <v>0.36478857599999998</v>
      </c>
      <c r="J182">
        <v>1.8408709240000001</v>
      </c>
      <c r="K182">
        <v>4.1698010759999997</v>
      </c>
      <c r="L182">
        <f t="shared" si="4"/>
        <v>0.61023878789727815</v>
      </c>
      <c r="M182">
        <f t="shared" si="5"/>
        <v>1.427868331075735</v>
      </c>
    </row>
    <row r="183" spans="1:13">
      <c r="A183" t="s">
        <v>207</v>
      </c>
      <c r="B183" t="s">
        <v>161</v>
      </c>
      <c r="C183">
        <v>0.211723461</v>
      </c>
      <c r="D183">
        <v>1350</v>
      </c>
      <c r="E183">
        <v>430.20049369999998</v>
      </c>
      <c r="F183">
        <v>14000</v>
      </c>
      <c r="G183">
        <v>1733.3341680000001</v>
      </c>
      <c r="H183">
        <v>1442</v>
      </c>
      <c r="I183">
        <v>0.430048502</v>
      </c>
      <c r="J183">
        <v>2.7961042009999999</v>
      </c>
      <c r="K183">
        <v>39.271048530000002</v>
      </c>
      <c r="L183">
        <f t="shared" si="4"/>
        <v>1.0282270915598231</v>
      </c>
      <c r="M183">
        <f t="shared" si="5"/>
        <v>3.6704875687682246</v>
      </c>
    </row>
    <row r="184" spans="1:13">
      <c r="A184" t="s">
        <v>208</v>
      </c>
      <c r="B184" t="s">
        <v>161</v>
      </c>
      <c r="C184">
        <v>0.217541016</v>
      </c>
      <c r="D184">
        <v>475</v>
      </c>
      <c r="E184">
        <v>188.15054369999999</v>
      </c>
      <c r="F184">
        <v>31850</v>
      </c>
      <c r="G184">
        <v>2589.2259159999999</v>
      </c>
      <c r="H184">
        <v>969</v>
      </c>
      <c r="I184">
        <v>0.54622880699999998</v>
      </c>
      <c r="J184">
        <v>1.1108170420000001</v>
      </c>
      <c r="K184">
        <v>47.53628604</v>
      </c>
      <c r="L184">
        <f t="shared" si="4"/>
        <v>0.10509581842860559</v>
      </c>
      <c r="M184">
        <f t="shared" si="5"/>
        <v>3.8614933360363786</v>
      </c>
    </row>
    <row r="185" spans="1:13">
      <c r="A185" t="s">
        <v>209</v>
      </c>
      <c r="B185" t="s">
        <v>95</v>
      </c>
      <c r="C185">
        <v>0.245046916</v>
      </c>
      <c r="D185">
        <v>302</v>
      </c>
      <c r="E185">
        <v>128.32678319999999</v>
      </c>
      <c r="F185">
        <v>38370</v>
      </c>
      <c r="G185">
        <v>1733.6728009999999</v>
      </c>
      <c r="H185">
        <v>552</v>
      </c>
      <c r="I185">
        <v>0.65362055699999999</v>
      </c>
      <c r="J185">
        <v>2.110071214</v>
      </c>
      <c r="K185">
        <v>16.680236709999999</v>
      </c>
      <c r="L185">
        <f t="shared" si="4"/>
        <v>0.74672169762933316</v>
      </c>
      <c r="M185">
        <f t="shared" si="5"/>
        <v>2.8142245880769083</v>
      </c>
    </row>
    <row r="186" spans="1:13">
      <c r="A186" t="s">
        <v>210</v>
      </c>
      <c r="B186" t="s">
        <v>95</v>
      </c>
      <c r="C186">
        <v>0.26412704599999998</v>
      </c>
      <c r="D186">
        <v>93</v>
      </c>
      <c r="E186">
        <v>100.4315897</v>
      </c>
      <c r="F186">
        <v>21400</v>
      </c>
      <c r="G186">
        <v>5310.8149839999996</v>
      </c>
      <c r="H186">
        <v>373</v>
      </c>
      <c r="I186">
        <v>0.80050201600000004</v>
      </c>
      <c r="J186">
        <v>0.32648937300000003</v>
      </c>
      <c r="K186">
        <v>3.266044612</v>
      </c>
      <c r="L186">
        <f t="shared" si="4"/>
        <v>-1.119357879034254</v>
      </c>
      <c r="M186">
        <f t="shared" si="5"/>
        <v>1.1835796539773344</v>
      </c>
    </row>
    <row r="187" spans="1:13">
      <c r="A187" t="s">
        <v>211</v>
      </c>
      <c r="B187" t="s">
        <v>95</v>
      </c>
      <c r="C187">
        <v>0.28997542599999998</v>
      </c>
      <c r="D187">
        <v>404</v>
      </c>
      <c r="E187">
        <v>201.1359061</v>
      </c>
      <c r="F187">
        <v>32542</v>
      </c>
      <c r="G187">
        <v>4294.0024960000001</v>
      </c>
      <c r="H187">
        <v>758</v>
      </c>
      <c r="I187">
        <v>0.61609601000000003</v>
      </c>
      <c r="J187">
        <v>1.0151768720000001</v>
      </c>
      <c r="K187">
        <v>25.73605319</v>
      </c>
      <c r="L187">
        <f t="shared" si="4"/>
        <v>1.5062855440645539E-2</v>
      </c>
      <c r="M187">
        <f t="shared" si="5"/>
        <v>3.2478928566893299</v>
      </c>
    </row>
    <row r="188" spans="1:13">
      <c r="A188" t="s">
        <v>212</v>
      </c>
      <c r="B188" t="s">
        <v>95</v>
      </c>
      <c r="C188">
        <v>0.18409618899999999</v>
      </c>
      <c r="D188">
        <v>238</v>
      </c>
      <c r="E188">
        <v>165.2189918</v>
      </c>
      <c r="F188">
        <v>24178</v>
      </c>
      <c r="G188">
        <v>3070.5380180000002</v>
      </c>
      <c r="H188">
        <v>497</v>
      </c>
      <c r="I188">
        <v>0.39818819</v>
      </c>
      <c r="J188">
        <v>3.1492719400000002</v>
      </c>
      <c r="K188">
        <v>73.401978779999993</v>
      </c>
      <c r="L188">
        <f t="shared" si="4"/>
        <v>1.14717129596412</v>
      </c>
      <c r="M188">
        <f t="shared" si="5"/>
        <v>4.2959508941126723</v>
      </c>
    </row>
    <row r="189" spans="1:13">
      <c r="A189" t="s">
        <v>213</v>
      </c>
      <c r="B189" t="s">
        <v>12</v>
      </c>
      <c r="C189">
        <v>0.21155503000000001</v>
      </c>
      <c r="D189">
        <v>1409</v>
      </c>
      <c r="E189">
        <v>867.80876130000001</v>
      </c>
      <c r="F189">
        <v>36113</v>
      </c>
      <c r="G189">
        <v>1819.3527059999999</v>
      </c>
      <c r="H189">
        <v>2702</v>
      </c>
      <c r="I189">
        <v>0.43340019800000001</v>
      </c>
      <c r="J189">
        <v>5.1517570460000002</v>
      </c>
      <c r="K189">
        <v>32.996589329999999</v>
      </c>
      <c r="L189">
        <f t="shared" si="4"/>
        <v>1.6393378304696189</v>
      </c>
      <c r="M189">
        <f t="shared" si="5"/>
        <v>3.4964042024887614</v>
      </c>
    </row>
    <row r="190" spans="1:13">
      <c r="A190" t="s">
        <v>214</v>
      </c>
      <c r="B190" t="s">
        <v>12</v>
      </c>
      <c r="C190">
        <v>0.16881728700000001</v>
      </c>
      <c r="D190">
        <v>1602</v>
      </c>
      <c r="E190">
        <v>711.29385200000002</v>
      </c>
      <c r="F190">
        <v>24981</v>
      </c>
      <c r="G190">
        <v>920.47186079999994</v>
      </c>
      <c r="H190">
        <v>1958</v>
      </c>
      <c r="I190">
        <v>0.39700600800000002</v>
      </c>
      <c r="J190">
        <v>3.1991267400000001</v>
      </c>
      <c r="K190">
        <v>15.12498609</v>
      </c>
      <c r="L190">
        <f t="shared" si="4"/>
        <v>1.162877878813406</v>
      </c>
      <c r="M190">
        <f t="shared" si="5"/>
        <v>2.7163480842470609</v>
      </c>
    </row>
    <row r="191" spans="1:13">
      <c r="A191" t="s">
        <v>215</v>
      </c>
      <c r="B191" t="s">
        <v>12</v>
      </c>
      <c r="C191">
        <v>0.151603143</v>
      </c>
      <c r="D191">
        <v>366</v>
      </c>
      <c r="E191">
        <v>167.34704970000001</v>
      </c>
      <c r="F191">
        <v>12630</v>
      </c>
      <c r="G191">
        <v>508.40320050000003</v>
      </c>
      <c r="H191">
        <v>268</v>
      </c>
      <c r="I191">
        <v>0.21148635499999999</v>
      </c>
      <c r="J191">
        <v>19.394452269999999</v>
      </c>
      <c r="K191">
        <v>43.8258115</v>
      </c>
      <c r="L191">
        <f t="shared" si="4"/>
        <v>2.9649870597094448</v>
      </c>
      <c r="M191">
        <f t="shared" si="5"/>
        <v>3.780222947464158</v>
      </c>
    </row>
    <row r="192" spans="1:13">
      <c r="A192" t="s">
        <v>216</v>
      </c>
      <c r="B192" t="s">
        <v>12</v>
      </c>
      <c r="C192">
        <v>0.24505955099999999</v>
      </c>
      <c r="D192">
        <v>1095</v>
      </c>
      <c r="E192">
        <v>294.22638519999998</v>
      </c>
      <c r="F192">
        <v>13852</v>
      </c>
      <c r="G192">
        <v>984.80723820000003</v>
      </c>
      <c r="H192">
        <v>860</v>
      </c>
      <c r="I192">
        <v>0.344297666</v>
      </c>
      <c r="J192">
        <v>1.207103185</v>
      </c>
      <c r="K192">
        <v>2.423096165</v>
      </c>
      <c r="L192">
        <f t="shared" si="4"/>
        <v>0.18822342727667835</v>
      </c>
      <c r="M192">
        <f t="shared" si="5"/>
        <v>0.88504612944963135</v>
      </c>
    </row>
    <row r="193" spans="1:13">
      <c r="A193" t="s">
        <v>217</v>
      </c>
      <c r="B193" t="s">
        <v>73</v>
      </c>
      <c r="C193">
        <v>0.31705959299999997</v>
      </c>
      <c r="D193">
        <v>165</v>
      </c>
      <c r="E193">
        <v>165.90612659999999</v>
      </c>
      <c r="F193">
        <v>56448</v>
      </c>
      <c r="G193">
        <v>20673.585159999999</v>
      </c>
      <c r="H193">
        <v>486</v>
      </c>
      <c r="I193">
        <v>0.86978285499999997</v>
      </c>
      <c r="J193">
        <v>0.47837887000000001</v>
      </c>
      <c r="K193">
        <v>2.8031039569999998</v>
      </c>
      <c r="L193">
        <f t="shared" si="4"/>
        <v>-0.73735224538135324</v>
      </c>
      <c r="M193">
        <f t="shared" si="5"/>
        <v>1.0307273592580279</v>
      </c>
    </row>
    <row r="194" spans="1:13">
      <c r="A194" t="s">
        <v>218</v>
      </c>
      <c r="B194" t="s">
        <v>73</v>
      </c>
      <c r="C194">
        <v>0.35867725900000003</v>
      </c>
      <c r="D194">
        <v>61</v>
      </c>
      <c r="E194">
        <v>176.71480389999999</v>
      </c>
      <c r="F194">
        <v>66348</v>
      </c>
      <c r="G194">
        <v>52456.388370000001</v>
      </c>
      <c r="H194">
        <v>135</v>
      </c>
      <c r="I194">
        <v>0.81171443300000001</v>
      </c>
      <c r="J194">
        <v>0.275813904</v>
      </c>
      <c r="K194">
        <v>1.4164618229999999</v>
      </c>
      <c r="L194">
        <f t="shared" si="4"/>
        <v>-1.2880289015506434</v>
      </c>
      <c r="M194">
        <f t="shared" si="5"/>
        <v>0.34816208828386253</v>
      </c>
    </row>
    <row r="195" spans="1:13">
      <c r="A195" t="s">
        <v>219</v>
      </c>
      <c r="B195" t="s">
        <v>131</v>
      </c>
      <c r="C195">
        <v>0.57035280700000002</v>
      </c>
      <c r="D195">
        <v>101</v>
      </c>
      <c r="E195">
        <v>110.8834351</v>
      </c>
      <c r="F195">
        <v>63949</v>
      </c>
      <c r="G195">
        <v>31244.214</v>
      </c>
      <c r="H195">
        <v>191</v>
      </c>
      <c r="I195">
        <v>0.89487920300000001</v>
      </c>
      <c r="J195">
        <v>0.17428069299999999</v>
      </c>
      <c r="K195">
        <v>1.7018443919999999</v>
      </c>
      <c r="L195">
        <f t="shared" ref="L195:L199" si="6">LN(J195)</f>
        <v>-1.7470881013809207</v>
      </c>
      <c r="M195">
        <f t="shared" ref="M195:M199" si="7">LN(K195)</f>
        <v>0.5317125994145282</v>
      </c>
    </row>
    <row r="196" spans="1:13">
      <c r="A196" t="s">
        <v>220</v>
      </c>
      <c r="B196" t="s">
        <v>39</v>
      </c>
      <c r="C196">
        <v>0.20238669300000001</v>
      </c>
      <c r="D196">
        <v>205</v>
      </c>
      <c r="E196">
        <v>74.499883190000006</v>
      </c>
      <c r="F196">
        <v>22264</v>
      </c>
      <c r="G196">
        <v>1215.750319</v>
      </c>
      <c r="H196">
        <v>432</v>
      </c>
      <c r="I196">
        <v>0.59826762600000005</v>
      </c>
      <c r="J196">
        <v>1.0307023529999999</v>
      </c>
      <c r="K196">
        <v>2.3927565909999999</v>
      </c>
      <c r="L196">
        <f t="shared" si="6"/>
        <v>3.0240465972528167E-2</v>
      </c>
      <c r="M196">
        <f t="shared" si="7"/>
        <v>0.87244608666118517</v>
      </c>
    </row>
    <row r="197" spans="1:13">
      <c r="A197" t="s">
        <v>221</v>
      </c>
      <c r="B197" t="s">
        <v>39</v>
      </c>
      <c r="C197">
        <v>0.189010134</v>
      </c>
      <c r="D197">
        <v>228</v>
      </c>
      <c r="E197">
        <v>60.399647819999998</v>
      </c>
      <c r="F197">
        <v>18403</v>
      </c>
      <c r="G197">
        <v>1069.669805</v>
      </c>
      <c r="H197">
        <v>333</v>
      </c>
      <c r="I197">
        <v>0.37667094499999998</v>
      </c>
      <c r="J197">
        <v>3.8929664640000001</v>
      </c>
      <c r="K197">
        <v>13.647984490000001</v>
      </c>
      <c r="L197">
        <f t="shared" si="6"/>
        <v>1.3591714541550468</v>
      </c>
      <c r="M197">
        <f t="shared" si="7"/>
        <v>2.6135918543184316</v>
      </c>
    </row>
    <row r="198" spans="1:13">
      <c r="A198" t="s">
        <v>222</v>
      </c>
      <c r="B198" t="s">
        <v>39</v>
      </c>
      <c r="C198">
        <v>0.22651515899999999</v>
      </c>
      <c r="D198">
        <v>1144</v>
      </c>
      <c r="E198">
        <v>184.33298490000001</v>
      </c>
      <c r="F198">
        <v>16523</v>
      </c>
      <c r="G198">
        <v>870.48096459999999</v>
      </c>
      <c r="H198">
        <v>653</v>
      </c>
      <c r="I198">
        <v>0.31946204099999997</v>
      </c>
      <c r="J198">
        <v>3.558421542</v>
      </c>
      <c r="K198">
        <v>104.9486038</v>
      </c>
      <c r="L198">
        <f t="shared" si="6"/>
        <v>1.2693170594601715</v>
      </c>
      <c r="M198">
        <f t="shared" si="7"/>
        <v>4.6534707427003035</v>
      </c>
    </row>
    <row r="199" spans="1:13">
      <c r="A199" t="s">
        <v>223</v>
      </c>
      <c r="B199" t="s">
        <v>39</v>
      </c>
      <c r="C199">
        <v>0.227026333</v>
      </c>
      <c r="D199">
        <v>612</v>
      </c>
      <c r="E199">
        <v>84.362375159999999</v>
      </c>
      <c r="F199">
        <v>10875</v>
      </c>
      <c r="G199">
        <v>751.33901730000002</v>
      </c>
      <c r="H199">
        <v>159</v>
      </c>
      <c r="I199">
        <v>0.288945006</v>
      </c>
      <c r="J199">
        <v>3.6279836759999999</v>
      </c>
      <c r="K199">
        <v>6.6283016720000001</v>
      </c>
      <c r="L199">
        <f t="shared" si="6"/>
        <v>1.2886770327940356</v>
      </c>
      <c r="M199">
        <f t="shared" si="7"/>
        <v>1.8913486133143074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3E45-EE3F-4E68-871E-DBF85BA3B971}">
  <dimension ref="A1:A199"/>
  <sheetViews>
    <sheetView workbookViewId="0">
      <selection sqref="A1:A1048576"/>
    </sheetView>
  </sheetViews>
  <sheetFormatPr defaultRowHeight="22.5"/>
  <sheetData>
    <row r="1" spans="1:1">
      <c r="A1" t="s">
        <v>2</v>
      </c>
    </row>
    <row r="2" spans="1:1">
      <c r="A2">
        <v>0.168453716</v>
      </c>
    </row>
    <row r="3" spans="1:1">
      <c r="A3">
        <v>0.228179774</v>
      </c>
    </row>
    <row r="4" spans="1:1">
      <c r="A4">
        <v>0.25159323500000003</v>
      </c>
    </row>
    <row r="5" spans="1:1">
      <c r="A5">
        <v>0.211549979</v>
      </c>
    </row>
    <row r="6" spans="1:1">
      <c r="A6">
        <v>0.19333484500000001</v>
      </c>
    </row>
    <row r="7" spans="1:1">
      <c r="A7">
        <v>0.22055339900000001</v>
      </c>
    </row>
    <row r="8" spans="1:1">
      <c r="A8">
        <v>0.219412682</v>
      </c>
    </row>
    <row r="9" spans="1:1">
      <c r="A9">
        <v>0.215444617</v>
      </c>
    </row>
    <row r="10" spans="1:1">
      <c r="A10">
        <v>0.21213686000000001</v>
      </c>
    </row>
    <row r="11" spans="1:1">
      <c r="A11">
        <v>0.14065731000000001</v>
      </c>
    </row>
    <row r="12" spans="1:1">
      <c r="A12">
        <v>0.45608617299999998</v>
      </c>
    </row>
    <row r="13" spans="1:1">
      <c r="A13">
        <v>0.54409904099999995</v>
      </c>
    </row>
    <row r="14" spans="1:1">
      <c r="A14">
        <v>0.60632591499999999</v>
      </c>
    </row>
    <row r="15" spans="1:1">
      <c r="A15">
        <v>0.47639817299999998</v>
      </c>
    </row>
    <row r="16" spans="1:1">
      <c r="A16">
        <v>0.10650770499999999</v>
      </c>
    </row>
    <row r="17" spans="1:1">
      <c r="A17">
        <v>0.24275382600000001</v>
      </c>
    </row>
    <row r="18" spans="1:1">
      <c r="A18">
        <v>0.24969312699999999</v>
      </c>
    </row>
    <row r="19" spans="1:1">
      <c r="A19">
        <v>0.122145189</v>
      </c>
    </row>
    <row r="20" spans="1:1">
      <c r="A20">
        <v>0.19657472000000001</v>
      </c>
    </row>
    <row r="21" spans="1:1">
      <c r="A21">
        <v>0.13796803999999999</v>
      </c>
    </row>
    <row r="22" spans="1:1">
      <c r="A22">
        <v>0.28280044500000001</v>
      </c>
    </row>
    <row r="23" spans="1:1">
      <c r="A23">
        <v>0.22737278699999999</v>
      </c>
    </row>
    <row r="24" spans="1:1">
      <c r="A24">
        <v>0.38753025699999999</v>
      </c>
    </row>
    <row r="25" spans="1:1">
      <c r="A25">
        <v>0.20886318200000001</v>
      </c>
    </row>
    <row r="26" spans="1:1">
      <c r="A26">
        <v>0.20308322600000001</v>
      </c>
    </row>
    <row r="27" spans="1:1">
      <c r="A27">
        <v>0.17102551899999999</v>
      </c>
    </row>
    <row r="28" spans="1:1">
      <c r="A28">
        <v>0.16445441399999999</v>
      </c>
    </row>
    <row r="29" spans="1:1">
      <c r="A29">
        <v>0.115826463</v>
      </c>
    </row>
    <row r="30" spans="1:1">
      <c r="A30">
        <v>0.23728640400000001</v>
      </c>
    </row>
    <row r="31" spans="1:1">
      <c r="A31">
        <v>0.20200159100000001</v>
      </c>
    </row>
    <row r="32" spans="1:1">
      <c r="A32">
        <v>0.28408404599999998</v>
      </c>
    </row>
    <row r="33" spans="1:1">
      <c r="A33">
        <v>0.29665385599999999</v>
      </c>
    </row>
    <row r="34" spans="1:1">
      <c r="A34">
        <v>0.224040875</v>
      </c>
    </row>
    <row r="35" spans="1:1">
      <c r="A35">
        <v>0.28270687500000002</v>
      </c>
    </row>
    <row r="36" spans="1:1">
      <c r="A36">
        <v>0.20481271500000001</v>
      </c>
    </row>
    <row r="37" spans="1:1">
      <c r="A37">
        <v>0.15025588100000001</v>
      </c>
    </row>
    <row r="38" spans="1:1">
      <c r="A38">
        <v>0.19062760100000001</v>
      </c>
    </row>
    <row r="39" spans="1:1">
      <c r="A39">
        <v>0.209638982</v>
      </c>
    </row>
    <row r="40" spans="1:1">
      <c r="A40">
        <v>0.200587287</v>
      </c>
    </row>
    <row r="41" spans="1:1">
      <c r="A41">
        <v>0.17700149800000001</v>
      </c>
    </row>
    <row r="42" spans="1:1">
      <c r="A42">
        <v>0.20303921</v>
      </c>
    </row>
    <row r="43" spans="1:1">
      <c r="A43">
        <v>0.27726281800000002</v>
      </c>
    </row>
    <row r="44" spans="1:1">
      <c r="A44">
        <v>0.38123718899999998</v>
      </c>
    </row>
    <row r="45" spans="1:1">
      <c r="A45">
        <v>0.29858011600000001</v>
      </c>
    </row>
    <row r="46" spans="1:1">
      <c r="A46">
        <v>0.31718099599999999</v>
      </c>
    </row>
    <row r="47" spans="1:1">
      <c r="A47">
        <v>0.39284011899999999</v>
      </c>
    </row>
    <row r="48" spans="1:1">
      <c r="A48">
        <v>0.37416011999999998</v>
      </c>
    </row>
    <row r="49" spans="1:1">
      <c r="A49">
        <v>0.311484967</v>
      </c>
    </row>
    <row r="50" spans="1:1">
      <c r="A50">
        <v>0.39200379400000002</v>
      </c>
    </row>
    <row r="51" spans="1:1">
      <c r="A51">
        <v>0.437683141</v>
      </c>
    </row>
    <row r="52" spans="1:1">
      <c r="A52">
        <v>0.378531748</v>
      </c>
    </row>
    <row r="53" spans="1:1">
      <c r="A53">
        <v>0.32082157300000003</v>
      </c>
    </row>
    <row r="54" spans="1:1">
      <c r="A54">
        <v>0.31972019899999998</v>
      </c>
    </row>
    <row r="55" spans="1:1">
      <c r="A55">
        <v>0.27767386999999999</v>
      </c>
    </row>
    <row r="56" spans="1:1">
      <c r="A56">
        <v>0.26180214699999999</v>
      </c>
    </row>
    <row r="57" spans="1:1">
      <c r="A57">
        <v>0.45592245300000001</v>
      </c>
    </row>
    <row r="58" spans="1:1">
      <c r="A58">
        <v>0.50326938300000001</v>
      </c>
    </row>
    <row r="59" spans="1:1">
      <c r="A59">
        <v>0.27643337099999998</v>
      </c>
    </row>
    <row r="60" spans="1:1">
      <c r="A60">
        <v>0.36324788299999999</v>
      </c>
    </row>
    <row r="61" spans="1:1">
      <c r="A61">
        <v>0.406220635</v>
      </c>
    </row>
    <row r="62" spans="1:1">
      <c r="A62">
        <v>0.36654825400000002</v>
      </c>
    </row>
    <row r="63" spans="1:1">
      <c r="A63">
        <v>0.44706875200000001</v>
      </c>
    </row>
    <row r="64" spans="1:1">
      <c r="A64">
        <v>0.34249453800000002</v>
      </c>
    </row>
    <row r="65" spans="1:1">
      <c r="A65">
        <v>0.35899756199999999</v>
      </c>
    </row>
    <row r="66" spans="1:1">
      <c r="A66">
        <v>0.284606847</v>
      </c>
    </row>
    <row r="67" spans="1:1">
      <c r="A67">
        <v>0.37079660800000003</v>
      </c>
    </row>
    <row r="68" spans="1:1">
      <c r="A68">
        <v>0.41214598000000002</v>
      </c>
    </row>
    <row r="69" spans="1:1">
      <c r="A69">
        <v>0.28282473499999999</v>
      </c>
    </row>
    <row r="70" spans="1:1">
      <c r="A70">
        <v>0.41032112700000001</v>
      </c>
    </row>
    <row r="71" spans="1:1">
      <c r="A71">
        <v>0.33734439300000002</v>
      </c>
    </row>
    <row r="72" spans="1:1">
      <c r="A72">
        <v>0.592643005</v>
      </c>
    </row>
    <row r="73" spans="1:1">
      <c r="A73">
        <v>0.27791397200000001</v>
      </c>
    </row>
    <row r="74" spans="1:1">
      <c r="A74">
        <v>0.177180698</v>
      </c>
    </row>
    <row r="75" spans="1:1">
      <c r="A75">
        <v>0.39655376199999998</v>
      </c>
    </row>
    <row r="76" spans="1:1">
      <c r="A76">
        <v>0.29946824100000002</v>
      </c>
    </row>
    <row r="77" spans="1:1">
      <c r="A77">
        <v>0.20926367000000001</v>
      </c>
    </row>
    <row r="78" spans="1:1">
      <c r="A78">
        <v>0.188661038</v>
      </c>
    </row>
    <row r="79" spans="1:1">
      <c r="A79">
        <v>0.23751553</v>
      </c>
    </row>
    <row r="80" spans="1:1">
      <c r="A80">
        <v>0.18357847599999999</v>
      </c>
    </row>
    <row r="81" spans="1:1">
      <c r="A81">
        <v>0.30574905800000002</v>
      </c>
    </row>
    <row r="82" spans="1:1">
      <c r="A82">
        <v>0.19617477</v>
      </c>
    </row>
    <row r="83" spans="1:1">
      <c r="A83">
        <v>0.186083781</v>
      </c>
    </row>
    <row r="84" spans="1:1">
      <c r="A84">
        <v>0.19547244599999999</v>
      </c>
    </row>
    <row r="85" spans="1:1">
      <c r="A85">
        <v>0.204315306</v>
      </c>
    </row>
    <row r="86" spans="1:1">
      <c r="A86">
        <v>0.19652208600000001</v>
      </c>
    </row>
    <row r="87" spans="1:1">
      <c r="A87">
        <v>0.19680510500000001</v>
      </c>
    </row>
    <row r="88" spans="1:1">
      <c r="A88">
        <v>0.30198225299999998</v>
      </c>
    </row>
    <row r="89" spans="1:1">
      <c r="A89">
        <v>0.23772589599999999</v>
      </c>
    </row>
    <row r="90" spans="1:1">
      <c r="A90">
        <v>0.273596756</v>
      </c>
    </row>
    <row r="91" spans="1:1">
      <c r="A91">
        <v>0.248380405</v>
      </c>
    </row>
    <row r="92" spans="1:1">
      <c r="A92">
        <v>0.38649116999999999</v>
      </c>
    </row>
    <row r="93" spans="1:1">
      <c r="A93">
        <v>0.27892424999999998</v>
      </c>
    </row>
    <row r="94" spans="1:1">
      <c r="A94">
        <v>0.30068711199999998</v>
      </c>
    </row>
    <row r="95" spans="1:1">
      <c r="A95">
        <v>0.27502327500000001</v>
      </c>
    </row>
    <row r="96" spans="1:1">
      <c r="A96">
        <v>0.28525952799999998</v>
      </c>
    </row>
    <row r="97" spans="1:1">
      <c r="A97">
        <v>0.25708455200000002</v>
      </c>
    </row>
    <row r="98" spans="1:1">
      <c r="A98">
        <v>0.42239218499999998</v>
      </c>
    </row>
    <row r="99" spans="1:1">
      <c r="A99">
        <v>0.30395869399999997</v>
      </c>
    </row>
    <row r="100" spans="1:1">
      <c r="A100">
        <v>0.23906413300000001</v>
      </c>
    </row>
    <row r="101" spans="1:1">
      <c r="A101">
        <v>0.24697443599999999</v>
      </c>
    </row>
    <row r="102" spans="1:1">
      <c r="A102">
        <v>0.32306336600000002</v>
      </c>
    </row>
    <row r="103" spans="1:1">
      <c r="A103">
        <v>0.28426217399999998</v>
      </c>
    </row>
    <row r="104" spans="1:1">
      <c r="A104">
        <v>0.31170119200000002</v>
      </c>
    </row>
    <row r="105" spans="1:1">
      <c r="A105">
        <v>0.276519562</v>
      </c>
    </row>
    <row r="106" spans="1:1">
      <c r="A106">
        <v>0.30366659400000001</v>
      </c>
    </row>
    <row r="107" spans="1:1">
      <c r="A107">
        <v>0.265914594</v>
      </c>
    </row>
    <row r="108" spans="1:1">
      <c r="A108">
        <v>0.41323379100000002</v>
      </c>
    </row>
    <row r="109" spans="1:1">
      <c r="A109">
        <v>0.23565187400000001</v>
      </c>
    </row>
    <row r="110" spans="1:1">
      <c r="A110">
        <v>0.17127929</v>
      </c>
    </row>
    <row r="111" spans="1:1">
      <c r="A111">
        <v>0.230261465</v>
      </c>
    </row>
    <row r="112" spans="1:1">
      <c r="A112">
        <v>0.44704292000000001</v>
      </c>
    </row>
    <row r="113" spans="1:1">
      <c r="A113">
        <v>0.53028949700000005</v>
      </c>
    </row>
    <row r="114" spans="1:1">
      <c r="A114">
        <v>0.50246327800000001</v>
      </c>
    </row>
    <row r="115" spans="1:1">
      <c r="A115">
        <v>0.52103927900000002</v>
      </c>
    </row>
    <row r="116" spans="1:1">
      <c r="A116">
        <v>0.47628884700000002</v>
      </c>
    </row>
    <row r="117" spans="1:1">
      <c r="A117">
        <v>0.41452138399999999</v>
      </c>
    </row>
    <row r="118" spans="1:1">
      <c r="A118">
        <v>0.45193549999999999</v>
      </c>
    </row>
    <row r="119" spans="1:1">
      <c r="A119">
        <v>0.136606487</v>
      </c>
    </row>
    <row r="120" spans="1:1">
      <c r="A120">
        <v>0.13303004600000001</v>
      </c>
    </row>
    <row r="121" spans="1:1">
      <c r="A121">
        <v>0.119230617</v>
      </c>
    </row>
    <row r="122" spans="1:1">
      <c r="A122">
        <v>0.21263331199999999</v>
      </c>
    </row>
    <row r="123" spans="1:1">
      <c r="A123">
        <v>0.10737775300000001</v>
      </c>
    </row>
    <row r="124" spans="1:1">
      <c r="A124">
        <v>0.165379945</v>
      </c>
    </row>
    <row r="125" spans="1:1">
      <c r="A125">
        <v>0.164627573</v>
      </c>
    </row>
    <row r="126" spans="1:1">
      <c r="A126">
        <v>0.11668621799999999</v>
      </c>
    </row>
    <row r="127" spans="1:1">
      <c r="A127">
        <v>0.15421572</v>
      </c>
    </row>
    <row r="128" spans="1:1">
      <c r="A128">
        <v>0.19877254</v>
      </c>
    </row>
    <row r="129" spans="1:1">
      <c r="A129">
        <v>0.44875178100000002</v>
      </c>
    </row>
    <row r="130" spans="1:1">
      <c r="A130">
        <v>0.73045825600000003</v>
      </c>
    </row>
    <row r="131" spans="1:1">
      <c r="A131">
        <v>0.62969018899999996</v>
      </c>
    </row>
    <row r="132" spans="1:1">
      <c r="A132">
        <v>0.477582073</v>
      </c>
    </row>
    <row r="133" spans="1:1">
      <c r="A133">
        <v>0.56261846999999998</v>
      </c>
    </row>
    <row r="134" spans="1:1">
      <c r="A134">
        <v>0.43809763299999999</v>
      </c>
    </row>
    <row r="135" spans="1:1">
      <c r="A135">
        <v>0.40370788200000002</v>
      </c>
    </row>
    <row r="136" spans="1:1">
      <c r="A136">
        <v>0.65903309899999996</v>
      </c>
    </row>
    <row r="137" spans="1:1">
      <c r="A137">
        <v>0.27862330800000001</v>
      </c>
    </row>
    <row r="138" spans="1:1">
      <c r="A138">
        <v>0.47203289100000001</v>
      </c>
    </row>
    <row r="139" spans="1:1">
      <c r="A139">
        <v>0.28335818000000002</v>
      </c>
    </row>
    <row r="140" spans="1:1">
      <c r="A140">
        <v>0.23890603699999999</v>
      </c>
    </row>
    <row r="141" spans="1:1">
      <c r="A141">
        <v>0.30419086000000001</v>
      </c>
    </row>
    <row r="142" spans="1:1">
      <c r="A142">
        <v>0.20676286999999999</v>
      </c>
    </row>
    <row r="143" spans="1:1">
      <c r="A143">
        <v>0.32843978000000001</v>
      </c>
    </row>
    <row r="144" spans="1:1">
      <c r="A144">
        <v>0.27397064500000001</v>
      </c>
    </row>
    <row r="145" spans="1:1">
      <c r="A145">
        <v>0.202716586</v>
      </c>
    </row>
    <row r="146" spans="1:1">
      <c r="A146">
        <v>0.34647295</v>
      </c>
    </row>
    <row r="147" spans="1:1">
      <c r="A147">
        <v>0.27915799400000002</v>
      </c>
    </row>
    <row r="148" spans="1:1">
      <c r="A148">
        <v>0.24253322299999999</v>
      </c>
    </row>
    <row r="149" spans="1:1">
      <c r="A149">
        <v>0.19301619</v>
      </c>
    </row>
    <row r="150" spans="1:1">
      <c r="A150">
        <v>0.36545001700000002</v>
      </c>
    </row>
    <row r="151" spans="1:1">
      <c r="A151">
        <v>0.50147754099999997</v>
      </c>
    </row>
    <row r="152" spans="1:1">
      <c r="A152">
        <v>0.62447978000000004</v>
      </c>
    </row>
    <row r="153" spans="1:1">
      <c r="A153">
        <v>0.36221704399999999</v>
      </c>
    </row>
    <row r="154" spans="1:1">
      <c r="A154">
        <v>0.71255596200000004</v>
      </c>
    </row>
    <row r="155" spans="1:1">
      <c r="A155">
        <v>0.50880878399999996</v>
      </c>
    </row>
    <row r="156" spans="1:1">
      <c r="A156">
        <v>0.30671783800000002</v>
      </c>
    </row>
    <row r="157" spans="1:1">
      <c r="A157">
        <v>0.38711994700000002</v>
      </c>
    </row>
    <row r="158" spans="1:1">
      <c r="A158">
        <v>0.59269856200000004</v>
      </c>
    </row>
    <row r="159" spans="1:1">
      <c r="A159">
        <v>0.23595068799999999</v>
      </c>
    </row>
    <row r="160" spans="1:1">
      <c r="A160">
        <v>0.22344609000000001</v>
      </c>
    </row>
    <row r="161" spans="1:1">
      <c r="A161">
        <v>0.26022857500000002</v>
      </c>
    </row>
    <row r="162" spans="1:1">
      <c r="A162">
        <v>0.14361695499999999</v>
      </c>
    </row>
    <row r="163" spans="1:1">
      <c r="A163">
        <v>0.165502861</v>
      </c>
    </row>
    <row r="164" spans="1:1">
      <c r="A164">
        <v>0.27195750699999999</v>
      </c>
    </row>
    <row r="165" spans="1:1">
      <c r="A165">
        <v>0.205131436</v>
      </c>
    </row>
    <row r="166" spans="1:1">
      <c r="A166">
        <v>0.22013100599999999</v>
      </c>
    </row>
    <row r="167" spans="1:1">
      <c r="A167">
        <v>0.244436814</v>
      </c>
    </row>
    <row r="168" spans="1:1">
      <c r="A168">
        <v>0.158049518</v>
      </c>
    </row>
    <row r="169" spans="1:1">
      <c r="A169">
        <v>0.195425091</v>
      </c>
    </row>
    <row r="170" spans="1:1">
      <c r="A170">
        <v>0.59984218199999995</v>
      </c>
    </row>
    <row r="171" spans="1:1">
      <c r="A171">
        <v>0.57774399600000004</v>
      </c>
    </row>
    <row r="172" spans="1:1">
      <c r="A172">
        <v>0.445376773</v>
      </c>
    </row>
    <row r="173" spans="1:1">
      <c r="A173">
        <v>0.58090409099999996</v>
      </c>
    </row>
    <row r="174" spans="1:1">
      <c r="A174">
        <v>0.51476878400000003</v>
      </c>
    </row>
    <row r="175" spans="1:1">
      <c r="A175">
        <v>0.43783509700000001</v>
      </c>
    </row>
    <row r="176" spans="1:1">
      <c r="A176">
        <v>0.65707162500000005</v>
      </c>
    </row>
    <row r="177" spans="1:1">
      <c r="A177">
        <v>0.63999352099999995</v>
      </c>
    </row>
    <row r="178" spans="1:1">
      <c r="A178">
        <v>0.61087398100000001</v>
      </c>
    </row>
    <row r="179" spans="1:1">
      <c r="A179">
        <v>0.68098198899999995</v>
      </c>
    </row>
    <row r="180" spans="1:1">
      <c r="A180">
        <v>0.72864417400000003</v>
      </c>
    </row>
    <row r="181" spans="1:1">
      <c r="A181">
        <v>0.209350604</v>
      </c>
    </row>
    <row r="182" spans="1:1">
      <c r="A182">
        <v>0.25115653399999999</v>
      </c>
    </row>
    <row r="183" spans="1:1">
      <c r="A183">
        <v>0.211723461</v>
      </c>
    </row>
    <row r="184" spans="1:1">
      <c r="A184">
        <v>0.217541016</v>
      </c>
    </row>
    <row r="185" spans="1:1">
      <c r="A185">
        <v>0.245046916</v>
      </c>
    </row>
    <row r="186" spans="1:1">
      <c r="A186">
        <v>0.26412704599999998</v>
      </c>
    </row>
    <row r="187" spans="1:1">
      <c r="A187">
        <v>0.28997542599999998</v>
      </c>
    </row>
    <row r="188" spans="1:1">
      <c r="A188">
        <v>0.18409618899999999</v>
      </c>
    </row>
    <row r="189" spans="1:1">
      <c r="A189">
        <v>0.21155503000000001</v>
      </c>
    </row>
    <row r="190" spans="1:1">
      <c r="A190">
        <v>0.16881728700000001</v>
      </c>
    </row>
    <row r="191" spans="1:1">
      <c r="A191">
        <v>0.151603143</v>
      </c>
    </row>
    <row r="192" spans="1:1">
      <c r="A192">
        <v>0.24505955099999999</v>
      </c>
    </row>
    <row r="193" spans="1:1">
      <c r="A193">
        <v>0.31705959299999997</v>
      </c>
    </row>
    <row r="194" spans="1:1">
      <c r="A194">
        <v>0.35867725900000003</v>
      </c>
    </row>
    <row r="195" spans="1:1">
      <c r="A195">
        <v>0.57035280700000002</v>
      </c>
    </row>
    <row r="196" spans="1:1">
      <c r="A196">
        <v>0.20238669300000001</v>
      </c>
    </row>
    <row r="197" spans="1:1">
      <c r="A197">
        <v>0.189010134</v>
      </c>
    </row>
    <row r="198" spans="1:1">
      <c r="A198">
        <v>0.22651515899999999</v>
      </c>
    </row>
    <row r="199" spans="1:1">
      <c r="A199">
        <v>0.227026333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140B-7945-43C1-82BE-64E8DA570404}">
  <dimension ref="A1:O199"/>
  <sheetViews>
    <sheetView topLeftCell="C1" zoomScale="85" zoomScaleNormal="85" workbookViewId="0">
      <selection activeCell="M17" sqref="M17"/>
    </sheetView>
  </sheetViews>
  <sheetFormatPr defaultRowHeight="22.5"/>
  <sheetData>
    <row r="1" spans="1:15">
      <c r="A1" t="s">
        <v>6</v>
      </c>
      <c r="L1" t="s">
        <v>237</v>
      </c>
      <c r="N1" t="s">
        <v>229</v>
      </c>
      <c r="O1" t="s">
        <v>230</v>
      </c>
    </row>
    <row r="2" spans="1:15">
      <c r="A2">
        <v>1172.2437809999999</v>
      </c>
      <c r="L2">
        <f>LN(A2)</f>
        <v>7.0666749527732815</v>
      </c>
      <c r="N2">
        <v>5.5</v>
      </c>
      <c r="O2" cm="1">
        <f t="array" ref="O2:O15">FREQUENCY($L$2:$L$199,N2:N14)</f>
        <v>1</v>
      </c>
    </row>
    <row r="3" spans="1:15">
      <c r="A3">
        <v>992.30161559999999</v>
      </c>
      <c r="L3">
        <f t="shared" ref="L3:L66" si="0">LN(A3)</f>
        <v>6.9000271090555225</v>
      </c>
      <c r="N3">
        <v>6</v>
      </c>
      <c r="O3">
        <v>2</v>
      </c>
    </row>
    <row r="4" spans="1:15">
      <c r="A4">
        <v>2727.5922220000002</v>
      </c>
      <c r="L4">
        <f t="shared" si="0"/>
        <v>7.9111745290512898</v>
      </c>
      <c r="N4">
        <v>6.5</v>
      </c>
      <c r="O4">
        <v>16</v>
      </c>
    </row>
    <row r="5" spans="1:15">
      <c r="A5">
        <v>1290.898848</v>
      </c>
      <c r="L5">
        <f t="shared" si="0"/>
        <v>7.1630940361116151</v>
      </c>
      <c r="N5">
        <v>7</v>
      </c>
      <c r="O5">
        <v>21</v>
      </c>
    </row>
    <row r="6" spans="1:15">
      <c r="A6">
        <v>1004.913227</v>
      </c>
      <c r="L6">
        <f t="shared" si="0"/>
        <v>6.9126564754720201</v>
      </c>
      <c r="N6">
        <v>7.5</v>
      </c>
      <c r="O6">
        <v>20</v>
      </c>
    </row>
    <row r="7" spans="1:15">
      <c r="A7">
        <v>2403.8183709999998</v>
      </c>
      <c r="L7">
        <f t="shared" si="0"/>
        <v>7.7848137399722201</v>
      </c>
      <c r="N7">
        <v>8</v>
      </c>
      <c r="O7">
        <v>20</v>
      </c>
    </row>
    <row r="8" spans="1:15">
      <c r="A8">
        <v>2170.5179450000001</v>
      </c>
      <c r="L8">
        <f t="shared" si="0"/>
        <v>7.6827211023857291</v>
      </c>
      <c r="N8">
        <v>8.5</v>
      </c>
      <c r="O8">
        <v>9</v>
      </c>
    </row>
    <row r="9" spans="1:15">
      <c r="A9">
        <v>1134.4408860000001</v>
      </c>
      <c r="L9">
        <f t="shared" si="0"/>
        <v>7.0338951970888752</v>
      </c>
      <c r="N9">
        <v>9</v>
      </c>
      <c r="O9">
        <v>13</v>
      </c>
    </row>
    <row r="10" spans="1:15">
      <c r="A10">
        <v>1478.4211299999999</v>
      </c>
      <c r="L10">
        <f t="shared" si="0"/>
        <v>7.2987299932636382</v>
      </c>
      <c r="N10">
        <v>9.5</v>
      </c>
      <c r="O10">
        <v>12</v>
      </c>
    </row>
    <row r="11" spans="1:15">
      <c r="A11">
        <v>348.97629749999999</v>
      </c>
      <c r="L11">
        <f t="shared" si="0"/>
        <v>5.8550040044232876</v>
      </c>
      <c r="N11">
        <v>10</v>
      </c>
      <c r="O11">
        <v>31</v>
      </c>
    </row>
    <row r="12" spans="1:15">
      <c r="A12">
        <v>22083.154869999998</v>
      </c>
      <c r="L12">
        <f t="shared" si="0"/>
        <v>10.002570373789213</v>
      </c>
      <c r="N12">
        <v>10.5</v>
      </c>
      <c r="O12">
        <v>37</v>
      </c>
    </row>
    <row r="13" spans="1:15">
      <c r="A13">
        <v>36241.730380000001</v>
      </c>
      <c r="L13">
        <f t="shared" si="0"/>
        <v>10.49796650680952</v>
      </c>
      <c r="N13">
        <v>11</v>
      </c>
      <c r="O13">
        <v>16</v>
      </c>
    </row>
    <row r="14" spans="1:15">
      <c r="A14">
        <v>40449.372530000001</v>
      </c>
      <c r="L14">
        <f t="shared" si="0"/>
        <v>10.607806410128992</v>
      </c>
      <c r="N14">
        <v>11.5</v>
      </c>
      <c r="O14">
        <v>0</v>
      </c>
    </row>
    <row r="15" spans="1:15">
      <c r="A15">
        <v>34234.933810000002</v>
      </c>
      <c r="L15">
        <f t="shared" si="0"/>
        <v>10.441001858151804</v>
      </c>
      <c r="O15">
        <v>0</v>
      </c>
    </row>
    <row r="16" spans="1:15">
      <c r="A16">
        <v>614.52580190000003</v>
      </c>
      <c r="L16">
        <f t="shared" si="0"/>
        <v>6.4208509165704903</v>
      </c>
    </row>
    <row r="17" spans="1:12">
      <c r="A17">
        <v>2904.2490509999998</v>
      </c>
      <c r="L17">
        <f t="shared" si="0"/>
        <v>7.9739301336310273</v>
      </c>
    </row>
    <row r="18" spans="1:12">
      <c r="A18">
        <v>2386.2635770000002</v>
      </c>
      <c r="L18">
        <f t="shared" si="0"/>
        <v>7.7774840647042325</v>
      </c>
    </row>
    <row r="19" spans="1:12">
      <c r="A19">
        <v>644.13505910000003</v>
      </c>
      <c r="L19">
        <f t="shared" si="0"/>
        <v>6.4679084232157562</v>
      </c>
    </row>
    <row r="20" spans="1:12">
      <c r="A20">
        <v>1441.9021399999999</v>
      </c>
      <c r="L20">
        <f t="shared" si="0"/>
        <v>7.2737184514643536</v>
      </c>
    </row>
    <row r="21" spans="1:12">
      <c r="A21">
        <v>340.23302109999997</v>
      </c>
      <c r="L21">
        <f t="shared" si="0"/>
        <v>5.8296307390373849</v>
      </c>
    </row>
    <row r="22" spans="1:12">
      <c r="A22">
        <v>4324.7017900000001</v>
      </c>
      <c r="L22">
        <f t="shared" si="0"/>
        <v>8.3720984666997822</v>
      </c>
    </row>
    <row r="23" spans="1:12">
      <c r="A23">
        <v>2480.193385</v>
      </c>
      <c r="L23">
        <f t="shared" si="0"/>
        <v>7.8160918139414965</v>
      </c>
    </row>
    <row r="24" spans="1:12">
      <c r="A24">
        <v>23616.043959999999</v>
      </c>
      <c r="L24">
        <f t="shared" si="0"/>
        <v>10.069681588848331</v>
      </c>
    </row>
    <row r="25" spans="1:12">
      <c r="A25">
        <v>1818.957658</v>
      </c>
      <c r="L25">
        <f t="shared" si="0"/>
        <v>7.5060189006221254</v>
      </c>
    </row>
    <row r="26" spans="1:12">
      <c r="A26">
        <v>893.20997920000002</v>
      </c>
      <c r="L26">
        <f t="shared" si="0"/>
        <v>6.7948216923173854</v>
      </c>
    </row>
    <row r="27" spans="1:12">
      <c r="A27">
        <v>662.23369149999996</v>
      </c>
      <c r="L27">
        <f t="shared" si="0"/>
        <v>6.495618501952392</v>
      </c>
    </row>
    <row r="28" spans="1:12">
      <c r="A28">
        <v>547.42107399999998</v>
      </c>
      <c r="L28">
        <f t="shared" si="0"/>
        <v>6.3052182942214001</v>
      </c>
    </row>
    <row r="29" spans="1:12">
      <c r="A29">
        <v>137.12920109999999</v>
      </c>
      <c r="L29">
        <f t="shared" si="0"/>
        <v>4.9209235551361177</v>
      </c>
    </row>
    <row r="30" spans="1:12">
      <c r="A30">
        <v>944.2073044</v>
      </c>
      <c r="L30">
        <f t="shared" si="0"/>
        <v>6.8503457441551294</v>
      </c>
    </row>
    <row r="31" spans="1:12">
      <c r="A31">
        <v>765.46945619999997</v>
      </c>
      <c r="L31">
        <f t="shared" si="0"/>
        <v>6.6404893138444763</v>
      </c>
    </row>
    <row r="32" spans="1:12">
      <c r="A32">
        <v>13248.05645</v>
      </c>
      <c r="L32">
        <f t="shared" si="0"/>
        <v>9.4916061376364951</v>
      </c>
    </row>
    <row r="33" spans="1:12">
      <c r="A33">
        <v>9956.7481179999995</v>
      </c>
      <c r="L33">
        <f t="shared" si="0"/>
        <v>9.2060058030911094</v>
      </c>
    </row>
    <row r="34" spans="1:12">
      <c r="A34">
        <v>10221.618570000001</v>
      </c>
      <c r="L34">
        <f t="shared" si="0"/>
        <v>9.2322602240164819</v>
      </c>
    </row>
    <row r="35" spans="1:12">
      <c r="A35">
        <v>16627.1538</v>
      </c>
      <c r="L35">
        <f t="shared" si="0"/>
        <v>9.7187924090126341</v>
      </c>
    </row>
    <row r="36" spans="1:12">
      <c r="A36">
        <v>30635.219489999999</v>
      </c>
      <c r="L36">
        <f t="shared" si="0"/>
        <v>10.329905589815009</v>
      </c>
    </row>
    <row r="37" spans="1:12">
      <c r="A37">
        <v>3457.1997270000002</v>
      </c>
      <c r="L37">
        <f t="shared" si="0"/>
        <v>8.1482142129128423</v>
      </c>
    </row>
    <row r="38" spans="1:12">
      <c r="A38">
        <v>6179.2186840000004</v>
      </c>
      <c r="L38">
        <f t="shared" si="0"/>
        <v>8.7289471159220113</v>
      </c>
    </row>
    <row r="39" spans="1:12">
      <c r="A39">
        <v>9196.6597309999997</v>
      </c>
      <c r="L39">
        <f t="shared" si="0"/>
        <v>9.1265956243928841</v>
      </c>
    </row>
    <row r="40" spans="1:12">
      <c r="A40">
        <v>4954.2407730000004</v>
      </c>
      <c r="L40">
        <f t="shared" si="0"/>
        <v>8.5079992106042504</v>
      </c>
    </row>
    <row r="41" spans="1:12">
      <c r="A41">
        <v>1864.1496520000001</v>
      </c>
      <c r="L41">
        <f t="shared" si="0"/>
        <v>7.5305602774305607</v>
      </c>
    </row>
    <row r="42" spans="1:12">
      <c r="A42">
        <v>8079.7267279999996</v>
      </c>
      <c r="L42">
        <f t="shared" si="0"/>
        <v>8.9971133301511266</v>
      </c>
    </row>
    <row r="43" spans="1:12">
      <c r="A43">
        <v>18373.273939999999</v>
      </c>
      <c r="L43">
        <f t="shared" si="0"/>
        <v>9.8186523844307505</v>
      </c>
    </row>
    <row r="44" spans="1:12">
      <c r="A44">
        <v>22267.425620000002</v>
      </c>
      <c r="L44">
        <f t="shared" si="0"/>
        <v>10.010880155006296</v>
      </c>
    </row>
    <row r="45" spans="1:12">
      <c r="A45">
        <v>6285.6747960000002</v>
      </c>
      <c r="L45">
        <f t="shared" si="0"/>
        <v>8.7460284813708054</v>
      </c>
    </row>
    <row r="46" spans="1:12">
      <c r="A46">
        <v>32362.750410000001</v>
      </c>
      <c r="L46">
        <f t="shared" si="0"/>
        <v>10.384763361689185</v>
      </c>
    </row>
    <row r="47" spans="1:12">
      <c r="A47">
        <v>20570.694230000001</v>
      </c>
      <c r="L47">
        <f t="shared" si="0"/>
        <v>9.9316227317128885</v>
      </c>
    </row>
    <row r="48" spans="1:12">
      <c r="A48">
        <v>25761.295239999999</v>
      </c>
      <c r="L48">
        <f t="shared" si="0"/>
        <v>10.15662846001014</v>
      </c>
    </row>
    <row r="49" spans="1:12">
      <c r="A49">
        <v>20191.368740000002</v>
      </c>
      <c r="L49">
        <f t="shared" si="0"/>
        <v>9.9130105019758599</v>
      </c>
    </row>
    <row r="50" spans="1:12">
      <c r="A50">
        <v>35713.646780000003</v>
      </c>
      <c r="L50">
        <f t="shared" si="0"/>
        <v>10.483288157469039</v>
      </c>
    </row>
    <row r="51" spans="1:12">
      <c r="A51">
        <v>27145.211780000001</v>
      </c>
      <c r="L51">
        <f t="shared" si="0"/>
        <v>10.208955948114239</v>
      </c>
    </row>
    <row r="52" spans="1:12">
      <c r="A52">
        <v>16499.42511</v>
      </c>
      <c r="L52">
        <f t="shared" si="0"/>
        <v>9.7110808174635004</v>
      </c>
    </row>
    <row r="53" spans="1:12">
      <c r="A53">
        <v>19981.421760000001</v>
      </c>
      <c r="L53">
        <f t="shared" si="0"/>
        <v>9.9025582088300101</v>
      </c>
    </row>
    <row r="54" spans="1:12">
      <c r="A54">
        <v>5628.42461</v>
      </c>
      <c r="L54">
        <f t="shared" si="0"/>
        <v>8.6355848613727382</v>
      </c>
    </row>
    <row r="55" spans="1:12">
      <c r="A55">
        <v>16600.448039999999</v>
      </c>
      <c r="L55">
        <f t="shared" si="0"/>
        <v>9.7171849643418469</v>
      </c>
    </row>
    <row r="56" spans="1:12">
      <c r="A56">
        <v>9068.0721549999998</v>
      </c>
      <c r="L56">
        <f t="shared" si="0"/>
        <v>9.1125149686976581</v>
      </c>
    </row>
    <row r="57" spans="1:12">
      <c r="A57">
        <v>47878.688439999998</v>
      </c>
      <c r="L57">
        <f t="shared" si="0"/>
        <v>10.776425766648437</v>
      </c>
    </row>
    <row r="58" spans="1:12">
      <c r="A58">
        <v>42644.606390000001</v>
      </c>
      <c r="L58">
        <f t="shared" si="0"/>
        <v>10.660656082789169</v>
      </c>
    </row>
    <row r="59" spans="1:12">
      <c r="A59">
        <v>11081.61522</v>
      </c>
      <c r="L59">
        <f t="shared" si="0"/>
        <v>9.3130427276550378</v>
      </c>
    </row>
    <row r="60" spans="1:12">
      <c r="A60">
        <v>45435.79797</v>
      </c>
      <c r="L60">
        <f t="shared" si="0"/>
        <v>10.724055574867265</v>
      </c>
    </row>
    <row r="61" spans="1:12">
      <c r="A61">
        <v>11214.897199999999</v>
      </c>
      <c r="L61">
        <f t="shared" si="0"/>
        <v>9.324998280617157</v>
      </c>
    </row>
    <row r="62" spans="1:12">
      <c r="A62">
        <v>31101.189259999999</v>
      </c>
      <c r="L62">
        <f t="shared" si="0"/>
        <v>10.345001337307583</v>
      </c>
    </row>
    <row r="63" spans="1:12">
      <c r="A63">
        <v>29740.614839999998</v>
      </c>
      <c r="L63">
        <f t="shared" si="0"/>
        <v>10.300268893640391</v>
      </c>
    </row>
    <row r="64" spans="1:12">
      <c r="A64">
        <v>19488.189030000001</v>
      </c>
      <c r="L64">
        <f t="shared" si="0"/>
        <v>9.8775638702778519</v>
      </c>
    </row>
    <row r="65" spans="1:12">
      <c r="A65">
        <v>19430.763220000001</v>
      </c>
      <c r="L65">
        <f t="shared" si="0"/>
        <v>9.8746128220941092</v>
      </c>
    </row>
    <row r="66" spans="1:12">
      <c r="A66">
        <v>18726.903549999999</v>
      </c>
      <c r="L66">
        <f t="shared" si="0"/>
        <v>9.8377164614295225</v>
      </c>
    </row>
    <row r="67" spans="1:12">
      <c r="A67">
        <v>34974.478210000001</v>
      </c>
      <c r="L67">
        <f t="shared" ref="L67:L130" si="1">LN(A67)</f>
        <v>10.462373880480293</v>
      </c>
    </row>
    <row r="68" spans="1:12">
      <c r="A68">
        <v>21605.804329999999</v>
      </c>
      <c r="L68">
        <f t="shared" si="1"/>
        <v>9.980717276555259</v>
      </c>
    </row>
    <row r="69" spans="1:12">
      <c r="A69">
        <v>14245.14611</v>
      </c>
      <c r="L69">
        <f t="shared" si="1"/>
        <v>9.5641715038116644</v>
      </c>
    </row>
    <row r="70" spans="1:12">
      <c r="A70">
        <v>17969.147919999999</v>
      </c>
      <c r="L70">
        <f t="shared" si="1"/>
        <v>9.7964115618476058</v>
      </c>
    </row>
    <row r="71" spans="1:12">
      <c r="A71">
        <v>43243.597399999999</v>
      </c>
      <c r="L71">
        <f t="shared" si="1"/>
        <v>10.674604464407249</v>
      </c>
    </row>
    <row r="72" spans="1:12">
      <c r="A72">
        <v>47915.30487</v>
      </c>
      <c r="L72">
        <f t="shared" si="1"/>
        <v>10.777190249483281</v>
      </c>
    </row>
    <row r="73" spans="1:12">
      <c r="A73">
        <v>7910.6412650000002</v>
      </c>
      <c r="L73">
        <f t="shared" si="1"/>
        <v>8.9759641276400401</v>
      </c>
    </row>
    <row r="74" spans="1:12">
      <c r="A74">
        <v>19159.969349999999</v>
      </c>
      <c r="L74">
        <f t="shared" si="1"/>
        <v>9.8605784518367248</v>
      </c>
    </row>
    <row r="75" spans="1:12">
      <c r="A75">
        <v>35570.107689999997</v>
      </c>
      <c r="L75">
        <f t="shared" si="1"/>
        <v>10.479260892489226</v>
      </c>
    </row>
    <row r="76" spans="1:12">
      <c r="A76">
        <v>24133.4231</v>
      </c>
      <c r="L76">
        <f t="shared" si="1"/>
        <v>10.091353009312041</v>
      </c>
    </row>
    <row r="77" spans="1:12">
      <c r="A77">
        <v>1224.664325</v>
      </c>
      <c r="L77">
        <f t="shared" si="1"/>
        <v>7.1104220650202121</v>
      </c>
    </row>
    <row r="78" spans="1:12">
      <c r="A78">
        <v>780.13797220000004</v>
      </c>
      <c r="L78">
        <f t="shared" si="1"/>
        <v>6.6594707914767968</v>
      </c>
    </row>
    <row r="79" spans="1:12">
      <c r="A79">
        <v>679.59941240000001</v>
      </c>
      <c r="L79">
        <f t="shared" si="1"/>
        <v>6.5215035251711528</v>
      </c>
    </row>
    <row r="80" spans="1:12">
      <c r="A80">
        <v>505.87403649999999</v>
      </c>
      <c r="L80">
        <f t="shared" si="1"/>
        <v>6.2262876985735094</v>
      </c>
    </row>
    <row r="81" spans="1:12">
      <c r="A81">
        <v>11508.12666</v>
      </c>
      <c r="L81">
        <f t="shared" si="1"/>
        <v>9.3508087308673868</v>
      </c>
    </row>
    <row r="82" spans="1:12">
      <c r="A82">
        <v>1324.2207519999999</v>
      </c>
      <c r="L82">
        <f t="shared" si="1"/>
        <v>7.1885794537166898</v>
      </c>
    </row>
    <row r="83" spans="1:12">
      <c r="A83">
        <v>550.83024669999998</v>
      </c>
      <c r="L83">
        <f t="shared" si="1"/>
        <v>6.3114266794716833</v>
      </c>
    </row>
    <row r="84" spans="1:12">
      <c r="A84">
        <v>2065.870367</v>
      </c>
      <c r="L84">
        <f t="shared" si="1"/>
        <v>7.6333069018252084</v>
      </c>
    </row>
    <row r="85" spans="1:12">
      <c r="A85">
        <v>657.30552599999999</v>
      </c>
      <c r="L85">
        <f t="shared" si="1"/>
        <v>6.4881489423542273</v>
      </c>
    </row>
    <row r="86" spans="1:12">
      <c r="A86">
        <v>3065.2842030000002</v>
      </c>
      <c r="L86">
        <f t="shared" si="1"/>
        <v>8.027895569357069</v>
      </c>
    </row>
    <row r="87" spans="1:12">
      <c r="A87">
        <v>962.15945650000003</v>
      </c>
      <c r="L87">
        <f t="shared" si="1"/>
        <v>6.8691801921273372</v>
      </c>
    </row>
    <row r="88" spans="1:12">
      <c r="A88">
        <v>607.74154120000003</v>
      </c>
      <c r="L88">
        <f t="shared" si="1"/>
        <v>6.4097496948764201</v>
      </c>
    </row>
    <row r="89" spans="1:12">
      <c r="A89">
        <v>849.69581129999995</v>
      </c>
      <c r="L89">
        <f t="shared" si="1"/>
        <v>6.7448784163751254</v>
      </c>
    </row>
    <row r="90" spans="1:12">
      <c r="A90">
        <v>5328.1447790000002</v>
      </c>
      <c r="L90">
        <f t="shared" si="1"/>
        <v>8.5807583850867744</v>
      </c>
    </row>
    <row r="91" spans="1:12">
      <c r="A91">
        <v>11509.27274</v>
      </c>
      <c r="L91">
        <f t="shared" si="1"/>
        <v>9.3509083146631955</v>
      </c>
    </row>
    <row r="92" spans="1:12">
      <c r="A92">
        <v>16066.279710000001</v>
      </c>
      <c r="L92">
        <f t="shared" si="1"/>
        <v>9.6844779266407137</v>
      </c>
    </row>
    <row r="93" spans="1:12">
      <c r="A93">
        <v>6788.9319770000002</v>
      </c>
      <c r="L93">
        <f t="shared" si="1"/>
        <v>8.8230489146609372</v>
      </c>
    </row>
    <row r="94" spans="1:12">
      <c r="A94">
        <v>18246.89964</v>
      </c>
      <c r="L94">
        <f t="shared" si="1"/>
        <v>9.8117504618392051</v>
      </c>
    </row>
    <row r="95" spans="1:12">
      <c r="A95">
        <v>1402.6125070000001</v>
      </c>
      <c r="L95">
        <f t="shared" si="1"/>
        <v>7.2460918530743186</v>
      </c>
    </row>
    <row r="96" spans="1:12">
      <c r="A96">
        <v>19494.173889999998</v>
      </c>
      <c r="L96">
        <f t="shared" si="1"/>
        <v>9.8778709250379393</v>
      </c>
    </row>
    <row r="97" spans="1:12">
      <c r="A97">
        <v>2221.116305</v>
      </c>
      <c r="L97">
        <f t="shared" si="1"/>
        <v>7.7057651885747021</v>
      </c>
    </row>
    <row r="98" spans="1:12">
      <c r="A98">
        <v>15406.491749999999</v>
      </c>
      <c r="L98">
        <f t="shared" si="1"/>
        <v>9.6425442417855578</v>
      </c>
    </row>
    <row r="99" spans="1:12">
      <c r="A99">
        <v>2580.6835190000002</v>
      </c>
      <c r="L99">
        <f t="shared" si="1"/>
        <v>7.8558095726729098</v>
      </c>
    </row>
    <row r="100" spans="1:12">
      <c r="A100">
        <v>1920.8520080000001</v>
      </c>
      <c r="L100">
        <f t="shared" si="1"/>
        <v>7.5605241207587319</v>
      </c>
    </row>
    <row r="101" spans="1:12">
      <c r="A101">
        <v>13703.11721</v>
      </c>
      <c r="L101">
        <f t="shared" si="1"/>
        <v>9.5253786195110202</v>
      </c>
    </row>
    <row r="102" spans="1:12">
      <c r="A102">
        <v>15891.088949999999</v>
      </c>
      <c r="L102">
        <f t="shared" si="1"/>
        <v>9.6735137877049944</v>
      </c>
    </row>
    <row r="103" spans="1:12">
      <c r="A103">
        <v>18388.620630000001</v>
      </c>
      <c r="L103">
        <f t="shared" si="1"/>
        <v>9.8194873082599514</v>
      </c>
    </row>
    <row r="104" spans="1:12">
      <c r="A104">
        <v>25678.386149999998</v>
      </c>
      <c r="L104">
        <f t="shared" si="1"/>
        <v>10.153404911202923</v>
      </c>
    </row>
    <row r="105" spans="1:12">
      <c r="A105">
        <v>7768.3629840000003</v>
      </c>
      <c r="L105">
        <f t="shared" si="1"/>
        <v>8.9578147369947807</v>
      </c>
    </row>
    <row r="106" spans="1:12">
      <c r="A106">
        <v>17410.88437</v>
      </c>
      <c r="L106">
        <f t="shared" si="1"/>
        <v>9.7648508281407089</v>
      </c>
    </row>
    <row r="107" spans="1:12">
      <c r="A107">
        <v>1536.0121610000001</v>
      </c>
      <c r="L107">
        <f t="shared" si="1"/>
        <v>7.3369448309939838</v>
      </c>
    </row>
    <row r="108" spans="1:12">
      <c r="A108">
        <v>18336.340929999998</v>
      </c>
      <c r="L108">
        <f t="shared" si="1"/>
        <v>9.8166402128189212</v>
      </c>
    </row>
    <row r="109" spans="1:12">
      <c r="A109">
        <v>1143.896166</v>
      </c>
      <c r="L109">
        <f t="shared" si="1"/>
        <v>7.0421954038344294</v>
      </c>
    </row>
    <row r="110" spans="1:12">
      <c r="A110">
        <v>2427.596732</v>
      </c>
      <c r="L110">
        <f t="shared" si="1"/>
        <v>7.794657047775261</v>
      </c>
    </row>
    <row r="111" spans="1:12">
      <c r="A111">
        <v>3488.0718200000001</v>
      </c>
      <c r="L111">
        <f t="shared" si="1"/>
        <v>8.1571043754132173</v>
      </c>
    </row>
    <row r="112" spans="1:12">
      <c r="A112">
        <v>30141.67715</v>
      </c>
      <c r="L112">
        <f t="shared" si="1"/>
        <v>10.313664115954174</v>
      </c>
    </row>
    <row r="113" spans="1:12">
      <c r="A113">
        <v>33459.038589999996</v>
      </c>
      <c r="L113">
        <f t="shared" si="1"/>
        <v>10.418077241013846</v>
      </c>
    </row>
    <row r="114" spans="1:12">
      <c r="A114">
        <v>39877.740010000001</v>
      </c>
      <c r="L114">
        <f t="shared" si="1"/>
        <v>10.593573552710705</v>
      </c>
    </row>
    <row r="115" spans="1:12">
      <c r="A115">
        <v>20607.312399999999</v>
      </c>
      <c r="L115">
        <f t="shared" si="1"/>
        <v>9.9334012626642032</v>
      </c>
    </row>
    <row r="116" spans="1:12">
      <c r="A116">
        <v>35280.009709999998</v>
      </c>
      <c r="L116">
        <f t="shared" si="1"/>
        <v>10.471071785347448</v>
      </c>
    </row>
    <row r="117" spans="1:12">
      <c r="A117">
        <v>44656.842929999999</v>
      </c>
      <c r="L117">
        <f t="shared" si="1"/>
        <v>10.706762831672837</v>
      </c>
    </row>
    <row r="118" spans="1:12">
      <c r="A118">
        <v>32368.443139999999</v>
      </c>
      <c r="L118">
        <f t="shared" si="1"/>
        <v>10.384939249995965</v>
      </c>
    </row>
    <row r="119" spans="1:12">
      <c r="A119">
        <v>473.41292609999999</v>
      </c>
      <c r="L119">
        <f t="shared" si="1"/>
        <v>6.1599680015233371</v>
      </c>
    </row>
    <row r="120" spans="1:12">
      <c r="A120">
        <v>959.30828970000005</v>
      </c>
      <c r="L120">
        <f t="shared" si="1"/>
        <v>6.8662124931917567</v>
      </c>
    </row>
    <row r="121" spans="1:12">
      <c r="A121">
        <v>698.41766129999996</v>
      </c>
      <c r="L121">
        <f t="shared" si="1"/>
        <v>6.5488172924358912</v>
      </c>
    </row>
    <row r="122" spans="1:12">
      <c r="A122">
        <v>1559.8176289999999</v>
      </c>
      <c r="L122">
        <f t="shared" si="1"/>
        <v>7.352324188922541</v>
      </c>
    </row>
    <row r="123" spans="1:12">
      <c r="A123">
        <v>637.06279110000003</v>
      </c>
      <c r="L123">
        <f t="shared" si="1"/>
        <v>6.4568682238695656</v>
      </c>
    </row>
    <row r="124" spans="1:12">
      <c r="A124">
        <v>810.80406979999998</v>
      </c>
      <c r="L124">
        <f t="shared" si="1"/>
        <v>6.6980264340521742</v>
      </c>
    </row>
    <row r="125" spans="1:12">
      <c r="A125">
        <v>1118.8777009999999</v>
      </c>
      <c r="L125">
        <f t="shared" si="1"/>
        <v>7.0200814092201407</v>
      </c>
    </row>
    <row r="126" spans="1:12">
      <c r="A126">
        <v>702.172685</v>
      </c>
      <c r="L126">
        <f t="shared" si="1"/>
        <v>6.5541793638037147</v>
      </c>
    </row>
    <row r="127" spans="1:12">
      <c r="A127">
        <v>566.79837080000004</v>
      </c>
      <c r="L127">
        <f t="shared" si="1"/>
        <v>6.3400036334298964</v>
      </c>
    </row>
    <row r="128" spans="1:12">
      <c r="A128">
        <v>2981.4863099999998</v>
      </c>
      <c r="L128">
        <f t="shared" si="1"/>
        <v>8.0001772169041203</v>
      </c>
    </row>
    <row r="129" spans="1:12">
      <c r="A129">
        <v>36064.716390000001</v>
      </c>
      <c r="L129">
        <f t="shared" si="1"/>
        <v>10.493070281049928</v>
      </c>
    </row>
    <row r="130" spans="1:12">
      <c r="A130">
        <v>34675.343999999997</v>
      </c>
      <c r="L130">
        <f t="shared" si="1"/>
        <v>10.453784165825963</v>
      </c>
    </row>
    <row r="131" spans="1:12">
      <c r="A131">
        <v>31974.46027</v>
      </c>
      <c r="L131">
        <f t="shared" ref="L131:L194" si="2">LN(A131)</f>
        <v>10.372692746554774</v>
      </c>
    </row>
    <row r="132" spans="1:12">
      <c r="A132">
        <v>32663.514439999999</v>
      </c>
      <c r="L132">
        <f t="shared" si="2"/>
        <v>10.394013967593796</v>
      </c>
    </row>
    <row r="133" spans="1:12">
      <c r="A133">
        <v>34123.48244</v>
      </c>
      <c r="L133">
        <f t="shared" si="2"/>
        <v>10.437741060875704</v>
      </c>
    </row>
    <row r="134" spans="1:12">
      <c r="A134">
        <v>30681.384890000001</v>
      </c>
      <c r="L134">
        <f t="shared" si="2"/>
        <v>10.33141139429293</v>
      </c>
    </row>
    <row r="135" spans="1:12">
      <c r="A135">
        <v>12682.35907</v>
      </c>
      <c r="L135">
        <f t="shared" si="2"/>
        <v>9.4479672572166766</v>
      </c>
    </row>
    <row r="136" spans="1:12">
      <c r="A136">
        <v>33926.133609999997</v>
      </c>
      <c r="L136">
        <f t="shared" si="2"/>
        <v>10.43194089932534</v>
      </c>
    </row>
    <row r="137" spans="1:12">
      <c r="A137">
        <v>3653.492311</v>
      </c>
      <c r="L137">
        <f t="shared" si="2"/>
        <v>8.2034387866717839</v>
      </c>
    </row>
    <row r="138" spans="1:12">
      <c r="A138">
        <v>16999.466100000001</v>
      </c>
      <c r="L138">
        <f t="shared" si="2"/>
        <v>9.7409372166628252</v>
      </c>
    </row>
    <row r="139" spans="1:12">
      <c r="A139">
        <v>8324.1581320000005</v>
      </c>
      <c r="L139">
        <f t="shared" si="2"/>
        <v>9.0269171844498537</v>
      </c>
    </row>
    <row r="140" spans="1:12">
      <c r="A140">
        <v>2021.980125</v>
      </c>
      <c r="L140">
        <f t="shared" si="2"/>
        <v>7.6118325701552534</v>
      </c>
    </row>
    <row r="141" spans="1:12">
      <c r="A141">
        <v>13932.32396</v>
      </c>
      <c r="L141">
        <f t="shared" si="2"/>
        <v>9.5419668841584109</v>
      </c>
    </row>
    <row r="142" spans="1:12">
      <c r="A142">
        <v>1904.4186950000001</v>
      </c>
      <c r="L142">
        <f t="shared" si="2"/>
        <v>7.5519320940123604</v>
      </c>
    </row>
    <row r="143" spans="1:12">
      <c r="A143">
        <v>1922.931865</v>
      </c>
      <c r="L143">
        <f t="shared" si="2"/>
        <v>7.5616063133438001</v>
      </c>
    </row>
    <row r="144" spans="1:12">
      <c r="A144">
        <v>5262.2181689999998</v>
      </c>
      <c r="L144">
        <f t="shared" si="2"/>
        <v>8.5683079219722167</v>
      </c>
    </row>
    <row r="145" spans="1:12">
      <c r="A145">
        <v>6110.4022770000001</v>
      </c>
      <c r="L145">
        <f t="shared" si="2"/>
        <v>8.7177478891145448</v>
      </c>
    </row>
    <row r="146" spans="1:12">
      <c r="A146">
        <v>9263.394241</v>
      </c>
      <c r="L146">
        <f t="shared" si="2"/>
        <v>9.133825809181765</v>
      </c>
    </row>
    <row r="147" spans="1:12">
      <c r="A147">
        <v>8008.8777620000001</v>
      </c>
      <c r="L147">
        <f t="shared" si="2"/>
        <v>8.9883059256276105</v>
      </c>
    </row>
    <row r="148" spans="1:12">
      <c r="A148">
        <v>2051.771334</v>
      </c>
      <c r="L148">
        <f t="shared" si="2"/>
        <v>7.6264587644087296</v>
      </c>
    </row>
    <row r="149" spans="1:12">
      <c r="A149">
        <v>1403.2997620000001</v>
      </c>
      <c r="L149">
        <f t="shared" si="2"/>
        <v>7.2465817151568475</v>
      </c>
    </row>
    <row r="150" spans="1:12">
      <c r="A150">
        <v>28638.52966</v>
      </c>
      <c r="L150">
        <f t="shared" si="2"/>
        <v>10.262508281069556</v>
      </c>
    </row>
    <row r="151" spans="1:12">
      <c r="A151">
        <v>29318.39201</v>
      </c>
      <c r="L151">
        <f t="shared" si="2"/>
        <v>10.285970311727228</v>
      </c>
    </row>
    <row r="152" spans="1:12">
      <c r="A152">
        <v>21958.736420000001</v>
      </c>
      <c r="L152">
        <f t="shared" si="2"/>
        <v>9.9969203538951135</v>
      </c>
    </row>
    <row r="153" spans="1:12">
      <c r="A153">
        <v>13494.539989999999</v>
      </c>
      <c r="L153">
        <f t="shared" si="2"/>
        <v>9.5100404374313232</v>
      </c>
    </row>
    <row r="154" spans="1:12">
      <c r="A154">
        <v>14542.01958</v>
      </c>
      <c r="L154">
        <f t="shared" si="2"/>
        <v>9.5847976396538765</v>
      </c>
    </row>
    <row r="155" spans="1:12">
      <c r="A155">
        <v>36565.127769999999</v>
      </c>
      <c r="L155">
        <f t="shared" si="2"/>
        <v>10.506850272024121</v>
      </c>
    </row>
    <row r="156" spans="1:12">
      <c r="A156">
        <v>36620.328280000002</v>
      </c>
      <c r="L156">
        <f t="shared" si="2"/>
        <v>10.508358782688594</v>
      </c>
    </row>
    <row r="157" spans="1:12">
      <c r="A157">
        <v>14382.39914</v>
      </c>
      <c r="L157">
        <f t="shared" si="2"/>
        <v>9.5737604560238285</v>
      </c>
    </row>
    <row r="158" spans="1:12">
      <c r="A158">
        <v>39048.36752</v>
      </c>
      <c r="L158">
        <f t="shared" si="2"/>
        <v>10.572556349528428</v>
      </c>
    </row>
    <row r="159" spans="1:12">
      <c r="A159">
        <v>951.52308870000002</v>
      </c>
      <c r="L159">
        <f t="shared" si="2"/>
        <v>6.8580639520224622</v>
      </c>
    </row>
    <row r="160" spans="1:12">
      <c r="A160">
        <v>1546.878328</v>
      </c>
      <c r="L160">
        <f t="shared" si="2"/>
        <v>7.3439941971890841</v>
      </c>
    </row>
    <row r="161" spans="1:12">
      <c r="A161">
        <v>1651.753273</v>
      </c>
      <c r="L161">
        <f t="shared" si="2"/>
        <v>7.4095925924427677</v>
      </c>
    </row>
    <row r="162" spans="1:12">
      <c r="A162">
        <v>494.28144270000001</v>
      </c>
      <c r="L162">
        <f t="shared" si="2"/>
        <v>6.2031050770226983</v>
      </c>
    </row>
    <row r="163" spans="1:12">
      <c r="A163">
        <v>819.73473650000005</v>
      </c>
      <c r="L163">
        <f t="shared" si="2"/>
        <v>6.7089807958502803</v>
      </c>
    </row>
    <row r="164" spans="1:12">
      <c r="A164">
        <v>3226.6156980000001</v>
      </c>
      <c r="L164">
        <f t="shared" si="2"/>
        <v>8.0791890954033736</v>
      </c>
    </row>
    <row r="165" spans="1:12">
      <c r="A165">
        <v>569.80374510000001</v>
      </c>
      <c r="L165">
        <f t="shared" si="2"/>
        <v>6.3452919946992807</v>
      </c>
    </row>
    <row r="166" spans="1:12">
      <c r="A166">
        <v>1169.3079459999999</v>
      </c>
      <c r="L166">
        <f t="shared" si="2"/>
        <v>7.0641673536418699</v>
      </c>
    </row>
    <row r="167" spans="1:12">
      <c r="A167">
        <v>964.38535639999998</v>
      </c>
      <c r="L167">
        <f t="shared" si="2"/>
        <v>6.871490962035784</v>
      </c>
    </row>
    <row r="168" spans="1:12">
      <c r="A168">
        <v>567.02790270000003</v>
      </c>
      <c r="L168">
        <f t="shared" si="2"/>
        <v>6.3404085136280361</v>
      </c>
    </row>
    <row r="169" spans="1:12">
      <c r="A169">
        <v>557.26970449999999</v>
      </c>
      <c r="L169">
        <f t="shared" si="2"/>
        <v>6.3230493318920526</v>
      </c>
    </row>
    <row r="170" spans="1:12">
      <c r="A170">
        <v>26909.759470000001</v>
      </c>
      <c r="L170">
        <f t="shared" si="2"/>
        <v>10.200244305368109</v>
      </c>
    </row>
    <row r="171" spans="1:12">
      <c r="A171">
        <v>49530.530100000004</v>
      </c>
      <c r="L171">
        <f t="shared" si="2"/>
        <v>10.810344528129493</v>
      </c>
    </row>
    <row r="172" spans="1:12">
      <c r="A172">
        <v>36590.517200000002</v>
      </c>
      <c r="L172">
        <f t="shared" si="2"/>
        <v>10.50754439292292</v>
      </c>
    </row>
    <row r="173" spans="1:12">
      <c r="A173">
        <v>30788.315009999998</v>
      </c>
      <c r="L173">
        <f t="shared" si="2"/>
        <v>10.3348905141856</v>
      </c>
    </row>
    <row r="174" spans="1:12">
      <c r="A174">
        <v>22803.095890000001</v>
      </c>
      <c r="L174">
        <f t="shared" si="2"/>
        <v>10.034651590373754</v>
      </c>
    </row>
    <row r="175" spans="1:12">
      <c r="A175">
        <v>31325.12167</v>
      </c>
      <c r="L175">
        <f t="shared" si="2"/>
        <v>10.352175663874842</v>
      </c>
    </row>
    <row r="176" spans="1:12">
      <c r="A176">
        <v>30696.50663</v>
      </c>
      <c r="L176">
        <f t="shared" si="2"/>
        <v>10.331904136546907</v>
      </c>
    </row>
    <row r="177" spans="1:12">
      <c r="A177">
        <v>29476.563900000001</v>
      </c>
      <c r="L177">
        <f t="shared" si="2"/>
        <v>10.291350782522191</v>
      </c>
    </row>
    <row r="178" spans="1:12">
      <c r="A178">
        <v>25401.271919999999</v>
      </c>
      <c r="L178">
        <f t="shared" si="2"/>
        <v>10.142554527343439</v>
      </c>
    </row>
    <row r="179" spans="1:12">
      <c r="A179">
        <v>58131.202559999998</v>
      </c>
      <c r="L179">
        <f t="shared" si="2"/>
        <v>10.970457847906152</v>
      </c>
    </row>
    <row r="180" spans="1:12">
      <c r="A180">
        <v>44958.887710000003</v>
      </c>
      <c r="L180">
        <f t="shared" si="2"/>
        <v>10.713503744715283</v>
      </c>
    </row>
    <row r="181" spans="1:12">
      <c r="A181">
        <v>1879.1787300000001</v>
      </c>
      <c r="L181">
        <f t="shared" si="2"/>
        <v>7.5385901146344141</v>
      </c>
    </row>
    <row r="182" spans="1:12">
      <c r="A182">
        <v>1435.003948</v>
      </c>
      <c r="L182">
        <f t="shared" si="2"/>
        <v>7.2689228794094491</v>
      </c>
    </row>
    <row r="183" spans="1:12">
      <c r="A183">
        <v>1733.3341680000001</v>
      </c>
      <c r="L183">
        <f t="shared" si="2"/>
        <v>7.457802097439755</v>
      </c>
    </row>
    <row r="184" spans="1:12">
      <c r="A184">
        <v>2589.2259159999999</v>
      </c>
      <c r="L184">
        <f t="shared" si="2"/>
        <v>7.8591142358905346</v>
      </c>
    </row>
    <row r="185" spans="1:12">
      <c r="A185">
        <v>1733.6728009999999</v>
      </c>
      <c r="L185">
        <f t="shared" si="2"/>
        <v>7.4579974434567111</v>
      </c>
    </row>
    <row r="186" spans="1:12">
      <c r="A186">
        <v>5310.8149839999996</v>
      </c>
      <c r="L186">
        <f t="shared" si="2"/>
        <v>8.5775005834382689</v>
      </c>
    </row>
    <row r="187" spans="1:12">
      <c r="A187">
        <v>4294.0024960000001</v>
      </c>
      <c r="L187">
        <f t="shared" si="2"/>
        <v>8.3649745597147565</v>
      </c>
    </row>
    <row r="188" spans="1:12">
      <c r="A188">
        <v>3070.5380180000002</v>
      </c>
      <c r="L188">
        <f t="shared" si="2"/>
        <v>8.0296080753895929</v>
      </c>
    </row>
    <row r="189" spans="1:12">
      <c r="A189">
        <v>1819.3527059999999</v>
      </c>
      <c r="L189">
        <f t="shared" si="2"/>
        <v>7.5062360607662741</v>
      </c>
    </row>
    <row r="190" spans="1:12">
      <c r="A190">
        <v>920.47186079999994</v>
      </c>
      <c r="L190">
        <f t="shared" si="2"/>
        <v>6.8248864307327644</v>
      </c>
    </row>
    <row r="191" spans="1:12">
      <c r="A191">
        <v>508.40320050000003</v>
      </c>
      <c r="L191">
        <f t="shared" si="2"/>
        <v>6.2312748345354523</v>
      </c>
    </row>
    <row r="192" spans="1:12">
      <c r="A192">
        <v>984.80723820000003</v>
      </c>
      <c r="L192">
        <f t="shared" si="2"/>
        <v>6.8924459247619989</v>
      </c>
    </row>
    <row r="193" spans="1:12">
      <c r="A193">
        <v>20673.585159999999</v>
      </c>
      <c r="L193">
        <f t="shared" si="2"/>
        <v>9.9366120851440005</v>
      </c>
    </row>
    <row r="194" spans="1:12">
      <c r="A194">
        <v>52456.388370000001</v>
      </c>
      <c r="L194">
        <f t="shared" si="2"/>
        <v>10.867737405644887</v>
      </c>
    </row>
    <row r="195" spans="1:12">
      <c r="A195">
        <v>31244.214</v>
      </c>
      <c r="L195">
        <f t="shared" ref="L195:L199" si="3">LN(A195)</f>
        <v>10.349589486021801</v>
      </c>
    </row>
    <row r="196" spans="1:12">
      <c r="A196">
        <v>1215.750319</v>
      </c>
      <c r="L196">
        <f t="shared" si="3"/>
        <v>7.1031167116733327</v>
      </c>
    </row>
    <row r="197" spans="1:12">
      <c r="A197">
        <v>1069.669805</v>
      </c>
      <c r="L197">
        <f t="shared" si="3"/>
        <v>6.9751052863732488</v>
      </c>
    </row>
    <row r="198" spans="1:12">
      <c r="A198">
        <v>870.48096459999999</v>
      </c>
      <c r="L198">
        <f t="shared" si="3"/>
        <v>6.769045891766396</v>
      </c>
    </row>
    <row r="199" spans="1:12">
      <c r="A199">
        <v>751.33901730000002</v>
      </c>
      <c r="L199">
        <f t="shared" si="3"/>
        <v>6.6218569710760216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0752-637C-4C81-B907-6AB902A58F06}">
  <dimension ref="A1:B199"/>
  <sheetViews>
    <sheetView workbookViewId="0">
      <selection sqref="A1:B1048576"/>
    </sheetView>
  </sheetViews>
  <sheetFormatPr defaultRowHeight="22.5"/>
  <sheetData>
    <row r="1" spans="1:2">
      <c r="A1" t="s">
        <v>9</v>
      </c>
      <c r="B1" t="s">
        <v>10</v>
      </c>
    </row>
    <row r="2" spans="1:2">
      <c r="A2">
        <v>1.9738876729999999</v>
      </c>
      <c r="B2">
        <v>2.770583588</v>
      </c>
    </row>
    <row r="3" spans="1:2">
      <c r="A3">
        <v>13.597248240000001</v>
      </c>
      <c r="B3">
        <v>77.859411059999999</v>
      </c>
    </row>
    <row r="4" spans="1:2">
      <c r="A4">
        <v>0.73360864199999998</v>
      </c>
      <c r="B4">
        <v>10.05108697</v>
      </c>
    </row>
    <row r="5" spans="1:2">
      <c r="A5">
        <v>0.97728331999999996</v>
      </c>
      <c r="B5">
        <v>1.6281955299999999</v>
      </c>
    </row>
    <row r="6" spans="1:2">
      <c r="A6">
        <v>1.2034943250000001</v>
      </c>
      <c r="B6">
        <v>3.274719047</v>
      </c>
    </row>
    <row r="7" spans="1:2">
      <c r="A7">
        <v>1.5770853920000001</v>
      </c>
      <c r="B7">
        <v>47.701450250000001</v>
      </c>
    </row>
    <row r="8" spans="1:2">
      <c r="A8">
        <v>2.0172460270000001</v>
      </c>
      <c r="B8">
        <v>16.357661409999999</v>
      </c>
    </row>
    <row r="9" spans="1:2">
      <c r="A9">
        <v>2.8518785019999999</v>
      </c>
      <c r="B9">
        <v>15.814046599999999</v>
      </c>
    </row>
    <row r="10" spans="1:2">
      <c r="A10">
        <v>1.1638149929999999</v>
      </c>
      <c r="B10">
        <v>8.7254830749999996</v>
      </c>
    </row>
    <row r="11" spans="1:2">
      <c r="A11">
        <v>9.3950768240000002</v>
      </c>
      <c r="B11">
        <v>75.596925690000006</v>
      </c>
    </row>
    <row r="12" spans="1:2">
      <c r="A12">
        <v>0.65974377100000003</v>
      </c>
      <c r="B12">
        <v>6.2058346259999997</v>
      </c>
    </row>
    <row r="13" spans="1:2">
      <c r="A13">
        <v>0.19394234900000001</v>
      </c>
      <c r="B13">
        <v>1.214694894</v>
      </c>
    </row>
    <row r="14" spans="1:2">
      <c r="A14">
        <v>0.88869907999999997</v>
      </c>
      <c r="B14">
        <v>15.27913579</v>
      </c>
    </row>
    <row r="15" spans="1:2">
      <c r="A15">
        <v>1.3039440360000001</v>
      </c>
      <c r="B15">
        <v>15.483814150000001</v>
      </c>
    </row>
    <row r="16" spans="1:2">
      <c r="A16">
        <v>0.67451679200000003</v>
      </c>
      <c r="B16">
        <v>56.07033534</v>
      </c>
    </row>
    <row r="17" spans="1:2">
      <c r="A17">
        <v>1.031344196</v>
      </c>
      <c r="B17">
        <v>9.3916066610000009</v>
      </c>
    </row>
    <row r="18" spans="1:2">
      <c r="A18">
        <v>2.5533767570000001</v>
      </c>
      <c r="B18">
        <v>12.429830129999999</v>
      </c>
    </row>
    <row r="19" spans="1:2">
      <c r="A19">
        <v>10.42603284</v>
      </c>
      <c r="B19">
        <v>15.024519850000001</v>
      </c>
    </row>
    <row r="20" spans="1:2">
      <c r="A20">
        <v>1.8788655590000001</v>
      </c>
      <c r="B20">
        <v>24.780406580000001</v>
      </c>
    </row>
    <row r="21" spans="1:2">
      <c r="A21">
        <v>8.0873899859999998</v>
      </c>
      <c r="B21">
        <v>40.170643650000002</v>
      </c>
    </row>
    <row r="22" spans="1:2">
      <c r="A22">
        <v>0.78200761299999999</v>
      </c>
      <c r="B22">
        <v>17.669845890000001</v>
      </c>
    </row>
    <row r="23" spans="1:2">
      <c r="A23">
        <v>1.657906839</v>
      </c>
      <c r="B23">
        <v>19.33608941</v>
      </c>
    </row>
    <row r="24" spans="1:2">
      <c r="A24">
        <v>2.21163636</v>
      </c>
      <c r="B24">
        <v>10.25251145</v>
      </c>
    </row>
    <row r="25" spans="1:2">
      <c r="A25">
        <v>1.2056724539999999</v>
      </c>
      <c r="B25">
        <v>14.562459479999999</v>
      </c>
    </row>
    <row r="26" spans="1:2">
      <c r="A26">
        <v>1.7494747289999999</v>
      </c>
      <c r="B26">
        <v>20.49573182</v>
      </c>
    </row>
    <row r="27" spans="1:2">
      <c r="A27">
        <v>4.6910669230000002</v>
      </c>
      <c r="B27">
        <v>6.7635106360000004</v>
      </c>
    </row>
    <row r="28" spans="1:2">
      <c r="A28">
        <v>17.498248579999998</v>
      </c>
      <c r="B28">
        <v>35.035717740000003</v>
      </c>
    </row>
    <row r="29" spans="1:2">
      <c r="A29">
        <v>18.970607189999999</v>
      </c>
      <c r="B29">
        <v>186.87583269999999</v>
      </c>
    </row>
    <row r="30" spans="1:2">
      <c r="A30">
        <v>6.7391533709999996</v>
      </c>
      <c r="B30">
        <v>27.978315469999998</v>
      </c>
    </row>
    <row r="31" spans="1:2">
      <c r="A31">
        <v>11.560508110000001</v>
      </c>
      <c r="B31">
        <v>106.3233786</v>
      </c>
    </row>
    <row r="32" spans="1:2">
      <c r="A32">
        <v>0.830660591</v>
      </c>
      <c r="B32">
        <v>9.7150933229999996</v>
      </c>
    </row>
    <row r="33" spans="1:2">
      <c r="A33">
        <v>1.982333506</v>
      </c>
      <c r="B33">
        <v>17.325865010000001</v>
      </c>
    </row>
    <row r="34" spans="1:2">
      <c r="A34">
        <v>1.6634051809999999</v>
      </c>
      <c r="B34">
        <v>5.8757279220000003</v>
      </c>
    </row>
    <row r="35" spans="1:2">
      <c r="A35">
        <v>1.0172188200000001</v>
      </c>
      <c r="B35">
        <v>3.8080858210000001</v>
      </c>
    </row>
    <row r="36" spans="1:2">
      <c r="A36">
        <v>0.92126009399999997</v>
      </c>
      <c r="B36">
        <v>3.701959741</v>
      </c>
    </row>
    <row r="37" spans="1:2">
      <c r="A37">
        <v>0.94212887000000001</v>
      </c>
      <c r="B37">
        <v>3.0297135050000001</v>
      </c>
    </row>
    <row r="38" spans="1:2">
      <c r="A38">
        <v>2.305873917</v>
      </c>
      <c r="B38">
        <v>12.12944755</v>
      </c>
    </row>
    <row r="39" spans="1:2">
      <c r="A39">
        <v>0.81636553700000003</v>
      </c>
      <c r="B39">
        <v>4.1933788710000002</v>
      </c>
    </row>
    <row r="40" spans="1:2">
      <c r="A40">
        <v>1.0844195919999999</v>
      </c>
      <c r="B40">
        <v>6.9970746129999997</v>
      </c>
    </row>
    <row r="41" spans="1:2">
      <c r="A41">
        <v>3.3109645040000002</v>
      </c>
      <c r="B41">
        <v>8.3109820800000005</v>
      </c>
    </row>
    <row r="42" spans="1:2">
      <c r="A42">
        <v>3.3829036819999998</v>
      </c>
      <c r="B42">
        <v>24.285970540000001</v>
      </c>
    </row>
    <row r="43" spans="1:2">
      <c r="A43">
        <v>0.15766860199999999</v>
      </c>
      <c r="B43">
        <v>0.56959482500000003</v>
      </c>
    </row>
    <row r="44" spans="1:2">
      <c r="A44">
        <v>0.32760293000000001</v>
      </c>
      <c r="B44">
        <v>2.628934831</v>
      </c>
    </row>
    <row r="45" spans="1:2">
      <c r="A45">
        <v>1.333412128</v>
      </c>
      <c r="B45">
        <v>14.00128525</v>
      </c>
    </row>
    <row r="46" spans="1:2">
      <c r="A46">
        <v>0.19072831500000001</v>
      </c>
      <c r="B46">
        <v>1.9705367970000001</v>
      </c>
    </row>
    <row r="47" spans="1:2">
      <c r="A47">
        <v>0.54759787999999998</v>
      </c>
      <c r="B47">
        <v>3.186245719</v>
      </c>
    </row>
    <row r="48" spans="1:2">
      <c r="A48">
        <v>0.20955678999999999</v>
      </c>
      <c r="B48">
        <v>2.752118786</v>
      </c>
    </row>
    <row r="49" spans="1:2">
      <c r="A49">
        <v>0.79458399800000001</v>
      </c>
      <c r="B49">
        <v>6.4445451350000003</v>
      </c>
    </row>
    <row r="50" spans="1:2">
      <c r="A50">
        <v>0.29956396099999999</v>
      </c>
      <c r="B50">
        <v>3.0167309169999998</v>
      </c>
    </row>
    <row r="51" spans="1:2">
      <c r="A51">
        <v>0.17393256700000001</v>
      </c>
      <c r="B51">
        <v>1.7502477160000001</v>
      </c>
    </row>
    <row r="52" spans="1:2">
      <c r="A52">
        <v>1.626186854</v>
      </c>
      <c r="B52">
        <v>6.4095785159999998</v>
      </c>
    </row>
    <row r="53" spans="1:2">
      <c r="A53">
        <v>0.497312592</v>
      </c>
      <c r="B53">
        <v>2.9902389130000002</v>
      </c>
    </row>
    <row r="54" spans="1:2">
      <c r="A54">
        <v>0.59929680200000002</v>
      </c>
      <c r="B54">
        <v>2.6630204229999999</v>
      </c>
    </row>
    <row r="55" spans="1:2">
      <c r="A55">
        <v>1.2981645559999999</v>
      </c>
      <c r="B55">
        <v>13.06937724</v>
      </c>
    </row>
    <row r="56" spans="1:2">
      <c r="A56">
        <v>1.3135681850000001</v>
      </c>
      <c r="B56">
        <v>8.1786381549999998</v>
      </c>
    </row>
    <row r="57" spans="1:2">
      <c r="A57">
        <v>0.18211106499999999</v>
      </c>
      <c r="B57">
        <v>2.429610351</v>
      </c>
    </row>
    <row r="58" spans="1:2">
      <c r="A58">
        <v>0.16154519000000001</v>
      </c>
      <c r="B58">
        <v>2.6723714279999999</v>
      </c>
    </row>
    <row r="59" spans="1:2">
      <c r="A59">
        <v>1.313136045</v>
      </c>
      <c r="B59">
        <v>9.817440758</v>
      </c>
    </row>
    <row r="60" spans="1:2">
      <c r="A60">
        <v>0.68152214099999997</v>
      </c>
      <c r="B60">
        <v>4.0525268490000004</v>
      </c>
    </row>
    <row r="61" spans="1:2">
      <c r="A61">
        <v>0.61995806099999995</v>
      </c>
      <c r="B61">
        <v>1.8589018470000001</v>
      </c>
    </row>
    <row r="62" spans="1:2">
      <c r="A62">
        <v>0.34262848400000001</v>
      </c>
      <c r="B62">
        <v>1.272878476</v>
      </c>
    </row>
    <row r="63" spans="1:2">
      <c r="A63">
        <v>0.140296374</v>
      </c>
      <c r="B63">
        <v>1.4637155310000001</v>
      </c>
    </row>
    <row r="64" spans="1:2">
      <c r="A64">
        <v>0.299492537</v>
      </c>
      <c r="B64">
        <v>8.7818948639999999</v>
      </c>
    </row>
    <row r="65" spans="1:2">
      <c r="A65">
        <v>0.14907426700000001</v>
      </c>
      <c r="B65">
        <v>2.2495939890000001</v>
      </c>
    </row>
    <row r="66" spans="1:2">
      <c r="A66">
        <v>0.65491462700000003</v>
      </c>
      <c r="B66">
        <v>6.4535339279999997</v>
      </c>
    </row>
    <row r="67" spans="1:2">
      <c r="A67">
        <v>0.13449972199999999</v>
      </c>
      <c r="B67">
        <v>2.328021401</v>
      </c>
    </row>
    <row r="68" spans="1:2">
      <c r="A68">
        <v>0.514833192</v>
      </c>
      <c r="B68">
        <v>1.4311286430000001</v>
      </c>
    </row>
    <row r="69" spans="1:2">
      <c r="A69">
        <v>0.42737770800000002</v>
      </c>
      <c r="B69">
        <v>0.79820255399999995</v>
      </c>
    </row>
    <row r="70" spans="1:2">
      <c r="A70">
        <v>0.31751216900000001</v>
      </c>
      <c r="B70">
        <v>2.6081516979999999</v>
      </c>
    </row>
    <row r="71" spans="1:2">
      <c r="A71">
        <v>0.94640294599999997</v>
      </c>
      <c r="B71">
        <v>5.9252924919999996</v>
      </c>
    </row>
    <row r="72" spans="1:2">
      <c r="A72">
        <v>0.37428263000000001</v>
      </c>
      <c r="B72">
        <v>2.1081732729999998</v>
      </c>
    </row>
    <row r="73" spans="1:2">
      <c r="A73">
        <v>0.27353328999999998</v>
      </c>
      <c r="B73">
        <v>4.7711673110000001</v>
      </c>
    </row>
    <row r="74" spans="1:2">
      <c r="A74">
        <v>0.57766870400000003</v>
      </c>
      <c r="B74">
        <v>10.09453972</v>
      </c>
    </row>
    <row r="75" spans="1:2">
      <c r="A75">
        <v>0.34063284399999999</v>
      </c>
      <c r="B75">
        <v>1.4970020939999999</v>
      </c>
    </row>
    <row r="76" spans="1:2">
      <c r="A76">
        <v>0.27425170100000001</v>
      </c>
      <c r="B76">
        <v>0.56383404199999998</v>
      </c>
    </row>
    <row r="77" spans="1:2">
      <c r="A77">
        <v>3.7105381670000002</v>
      </c>
      <c r="B77">
        <v>15.370027350000001</v>
      </c>
    </row>
    <row r="78" spans="1:2">
      <c r="A78">
        <v>11.06890379</v>
      </c>
      <c r="B78">
        <v>46.691468659999998</v>
      </c>
    </row>
    <row r="79" spans="1:2">
      <c r="A79">
        <v>12.823355299999999</v>
      </c>
      <c r="B79">
        <v>47.809691260000001</v>
      </c>
    </row>
    <row r="80" spans="1:2">
      <c r="A80">
        <v>10.71010835</v>
      </c>
      <c r="B80">
        <v>25.590643379999999</v>
      </c>
    </row>
    <row r="81" spans="1:2">
      <c r="A81">
        <v>0.41583130800000001</v>
      </c>
      <c r="B81">
        <v>5.1977323379999998</v>
      </c>
    </row>
    <row r="82" spans="1:2">
      <c r="A82">
        <v>1.2118669280000001</v>
      </c>
      <c r="B82">
        <v>7.5750831669999998</v>
      </c>
    </row>
    <row r="83" spans="1:2">
      <c r="A83">
        <v>11.490001100000001</v>
      </c>
      <c r="B83">
        <v>44.824444739999997</v>
      </c>
    </row>
    <row r="84" spans="1:2">
      <c r="A84">
        <v>0.78148925599999997</v>
      </c>
      <c r="B84">
        <v>33.36277012</v>
      </c>
    </row>
    <row r="85" spans="1:2">
      <c r="A85">
        <v>23.873981000000001</v>
      </c>
      <c r="B85">
        <v>113.4496683</v>
      </c>
    </row>
    <row r="86" spans="1:2">
      <c r="A86">
        <v>1.3817860879999999</v>
      </c>
      <c r="B86">
        <v>6.8188293079999998</v>
      </c>
    </row>
    <row r="87" spans="1:2">
      <c r="A87">
        <v>4.2519299779999997</v>
      </c>
      <c r="B87">
        <v>8.2387339389999994</v>
      </c>
    </row>
    <row r="88" spans="1:2">
      <c r="A88">
        <v>8.6089399590000006</v>
      </c>
      <c r="B88">
        <v>93.032351480000003</v>
      </c>
    </row>
    <row r="89" spans="1:2">
      <c r="A89">
        <v>9.6795158919999995</v>
      </c>
      <c r="B89">
        <v>41.628415660000002</v>
      </c>
    </row>
    <row r="90" spans="1:2">
      <c r="A90">
        <v>1.8753356779999999</v>
      </c>
      <c r="B90">
        <v>15.68262447</v>
      </c>
    </row>
    <row r="91" spans="1:2">
      <c r="A91">
        <v>3.9462688180000001</v>
      </c>
      <c r="B91">
        <v>21.216662169999999</v>
      </c>
    </row>
    <row r="92" spans="1:2">
      <c r="A92">
        <v>1.6801982019999999</v>
      </c>
      <c r="B92">
        <v>10.95893135</v>
      </c>
    </row>
    <row r="93" spans="1:2">
      <c r="A93">
        <v>0.57270760499999995</v>
      </c>
      <c r="B93">
        <v>15.15187633</v>
      </c>
    </row>
    <row r="94" spans="1:2">
      <c r="A94">
        <v>0.29314832499999999</v>
      </c>
      <c r="B94">
        <v>2.0296804669999999</v>
      </c>
    </row>
    <row r="95" spans="1:2">
      <c r="A95">
        <v>3.0540981409999999</v>
      </c>
      <c r="B95">
        <v>10.87349992</v>
      </c>
    </row>
    <row r="96" spans="1:2">
      <c r="A96">
        <v>0.30367702600000002</v>
      </c>
      <c r="B96">
        <v>1.5429628710000001</v>
      </c>
    </row>
    <row r="97" spans="1:2">
      <c r="A97">
        <v>2.9214438880000002</v>
      </c>
      <c r="B97">
        <v>24.080448480000001</v>
      </c>
    </row>
    <row r="98" spans="1:2">
      <c r="A98">
        <v>0.18402796699999999</v>
      </c>
      <c r="B98">
        <v>2.4997290510000001</v>
      </c>
    </row>
    <row r="99" spans="1:2">
      <c r="A99">
        <v>1.0843762969999999</v>
      </c>
      <c r="B99">
        <v>35.835889160000001</v>
      </c>
    </row>
    <row r="100" spans="1:2">
      <c r="A100">
        <v>2.291156188</v>
      </c>
      <c r="B100">
        <v>12.8841822</v>
      </c>
    </row>
    <row r="101" spans="1:2">
      <c r="A101">
        <v>0.18228116999999999</v>
      </c>
      <c r="B101">
        <v>1.3651828260000001</v>
      </c>
    </row>
    <row r="102" spans="1:2">
      <c r="A102">
        <v>0.29647476</v>
      </c>
      <c r="B102">
        <v>4.7081599660000002</v>
      </c>
    </row>
    <row r="103" spans="1:2">
      <c r="A103">
        <v>0.47257049000000001</v>
      </c>
      <c r="B103">
        <v>5.1599307950000002</v>
      </c>
    </row>
    <row r="104" spans="1:2">
      <c r="A104">
        <v>0.14880025799999999</v>
      </c>
      <c r="B104">
        <v>4.8499944529999999</v>
      </c>
    </row>
    <row r="105" spans="1:2">
      <c r="A105">
        <v>0.91535249699999999</v>
      </c>
      <c r="B105">
        <v>11.801019220000001</v>
      </c>
    </row>
    <row r="106" spans="1:2">
      <c r="A106">
        <v>0.63598024600000003</v>
      </c>
      <c r="B106">
        <v>2.8298590180000001</v>
      </c>
    </row>
    <row r="107" spans="1:2">
      <c r="A107">
        <v>1.9962231459999999</v>
      </c>
      <c r="B107">
        <v>30.666745410000001</v>
      </c>
    </row>
    <row r="108" spans="1:2">
      <c r="A108">
        <v>0.22711384400000001</v>
      </c>
      <c r="B108">
        <v>7.255437401</v>
      </c>
    </row>
    <row r="109" spans="1:2">
      <c r="A109">
        <v>5.4783043390000001</v>
      </c>
      <c r="B109">
        <v>31.272702639999999</v>
      </c>
    </row>
    <row r="110" spans="1:2">
      <c r="A110">
        <v>2.245477696</v>
      </c>
      <c r="B110">
        <v>26.67585536</v>
      </c>
    </row>
    <row r="111" spans="1:2">
      <c r="A111">
        <v>1.283412255</v>
      </c>
      <c r="B111">
        <v>20.4962588</v>
      </c>
    </row>
    <row r="112" spans="1:2">
      <c r="A112">
        <v>0.213076829</v>
      </c>
      <c r="B112">
        <v>1.2829065239999999</v>
      </c>
    </row>
    <row r="113" spans="1:2">
      <c r="A113">
        <v>0.231209</v>
      </c>
      <c r="B113">
        <v>2.206019725</v>
      </c>
    </row>
    <row r="114" spans="1:2">
      <c r="A114">
        <v>0.37719777599999998</v>
      </c>
      <c r="B114">
        <v>2.2901749499999999</v>
      </c>
    </row>
    <row r="115" spans="1:2">
      <c r="A115">
        <v>0.210216717</v>
      </c>
      <c r="B115">
        <v>3.9096785870000001</v>
      </c>
    </row>
    <row r="116" spans="1:2">
      <c r="A116">
        <v>0.14887204900000001</v>
      </c>
      <c r="B116">
        <v>2.1602475970000001</v>
      </c>
    </row>
    <row r="117" spans="1:2">
      <c r="A117">
        <v>0.343187507</v>
      </c>
      <c r="B117">
        <v>3.635268344</v>
      </c>
    </row>
    <row r="118" spans="1:2">
      <c r="A118">
        <v>0.11947856499999999</v>
      </c>
      <c r="B118">
        <v>0.63051649600000004</v>
      </c>
    </row>
    <row r="119" spans="1:2">
      <c r="A119">
        <v>16.61072382</v>
      </c>
      <c r="B119">
        <v>39.38264015</v>
      </c>
    </row>
    <row r="120" spans="1:2">
      <c r="A120">
        <v>9.8479708469999991</v>
      </c>
      <c r="B120">
        <v>4.5336301260000003</v>
      </c>
    </row>
    <row r="121" spans="1:2">
      <c r="A121">
        <v>44.567079470000003</v>
      </c>
      <c r="B121">
        <v>127.2596763</v>
      </c>
    </row>
    <row r="122" spans="1:2">
      <c r="A122">
        <v>3.1776243929999999</v>
      </c>
      <c r="B122">
        <v>5.4324751620000002</v>
      </c>
    </row>
    <row r="123" spans="1:2">
      <c r="A123">
        <v>29.100678169999998</v>
      </c>
      <c r="B123">
        <v>20.849981140000001</v>
      </c>
    </row>
    <row r="124" spans="1:2">
      <c r="A124">
        <v>11.10589182</v>
      </c>
      <c r="B124">
        <v>148.38948339999999</v>
      </c>
    </row>
    <row r="125" spans="1:2">
      <c r="A125">
        <v>0.82655997000000003</v>
      </c>
      <c r="B125">
        <v>6.8562671560000004</v>
      </c>
    </row>
    <row r="126" spans="1:2">
      <c r="A126">
        <v>6.1537786199999998</v>
      </c>
      <c r="B126">
        <v>3.6568473309999998</v>
      </c>
    </row>
    <row r="127" spans="1:2">
      <c r="A127">
        <v>22.623985730000001</v>
      </c>
      <c r="B127">
        <v>5.3225743789999997</v>
      </c>
    </row>
    <row r="128" spans="1:2">
      <c r="A128">
        <v>1.488861073</v>
      </c>
      <c r="B128">
        <v>6.6291717180000003</v>
      </c>
    </row>
    <row r="129" spans="1:2">
      <c r="A129">
        <v>0.182607295</v>
      </c>
      <c r="B129">
        <v>2.7226161150000001</v>
      </c>
    </row>
    <row r="130" spans="1:2">
      <c r="A130">
        <v>0.21832146999999999</v>
      </c>
      <c r="B130">
        <v>5.1887242389999999</v>
      </c>
    </row>
    <row r="131" spans="1:2">
      <c r="A131">
        <v>0.41256357100000002</v>
      </c>
      <c r="B131">
        <v>4.6372198769999997</v>
      </c>
    </row>
    <row r="132" spans="1:2">
      <c r="A132">
        <v>0.29077156500000001</v>
      </c>
      <c r="B132">
        <v>9.1330362019999995</v>
      </c>
    </row>
    <row r="133" spans="1:2">
      <c r="A133">
        <v>0.33276512200000002</v>
      </c>
      <c r="B133">
        <v>5.5616372829999996</v>
      </c>
    </row>
    <row r="134" spans="1:2">
      <c r="A134">
        <v>0.20305417100000001</v>
      </c>
      <c r="B134">
        <v>2.8131632419999999</v>
      </c>
    </row>
    <row r="135" spans="1:2">
      <c r="A135">
        <v>1.4445719109999999</v>
      </c>
      <c r="B135">
        <v>15.11521211</v>
      </c>
    </row>
    <row r="136" spans="1:2">
      <c r="A136">
        <v>0.173611287</v>
      </c>
      <c r="B136">
        <v>1.431860497</v>
      </c>
    </row>
    <row r="137" spans="1:2">
      <c r="A137">
        <v>1.5181342849999999</v>
      </c>
      <c r="B137">
        <v>3.2663101000000001</v>
      </c>
    </row>
    <row r="138" spans="1:2">
      <c r="A138">
        <v>0.33389595100000002</v>
      </c>
      <c r="B138">
        <v>3.5066547250000002</v>
      </c>
    </row>
    <row r="139" spans="1:2">
      <c r="A139">
        <v>1.554528578</v>
      </c>
      <c r="B139">
        <v>11.288812979999999</v>
      </c>
    </row>
    <row r="140" spans="1:2">
      <c r="A140">
        <v>1.388324785</v>
      </c>
      <c r="B140">
        <v>23.749147350000001</v>
      </c>
    </row>
    <row r="141" spans="1:2">
      <c r="A141">
        <v>0.59435410200000005</v>
      </c>
      <c r="B141">
        <v>7.1380593929999998</v>
      </c>
    </row>
    <row r="142" spans="1:2">
      <c r="A142">
        <v>1.0118281309999999</v>
      </c>
      <c r="B142">
        <v>24.714892169999999</v>
      </c>
    </row>
    <row r="143" spans="1:2">
      <c r="A143">
        <v>0.51809792099999996</v>
      </c>
      <c r="B143">
        <v>13.937731749999999</v>
      </c>
    </row>
    <row r="144" spans="1:2">
      <c r="A144">
        <v>0.80844231499999997</v>
      </c>
      <c r="B144">
        <v>8.0999492360000005</v>
      </c>
    </row>
    <row r="145" spans="1:2">
      <c r="A145">
        <v>0.48947794300000003</v>
      </c>
      <c r="B145">
        <v>6.2753703359999999</v>
      </c>
    </row>
    <row r="146" spans="1:2">
      <c r="A146">
        <v>0.67998340499999999</v>
      </c>
      <c r="B146">
        <v>10.321834239999999</v>
      </c>
    </row>
    <row r="147" spans="1:2">
      <c r="A147">
        <v>0.67528776199999996</v>
      </c>
      <c r="B147">
        <v>3.293343949</v>
      </c>
    </row>
    <row r="148" spans="1:2">
      <c r="A148">
        <v>0.599290086</v>
      </c>
      <c r="B148">
        <v>4.3546360030000004</v>
      </c>
    </row>
    <row r="149" spans="1:2">
      <c r="A149">
        <v>2.746893783</v>
      </c>
      <c r="B149">
        <v>11.715490340000001</v>
      </c>
    </row>
    <row r="150" spans="1:2">
      <c r="A150">
        <v>0.306127869</v>
      </c>
      <c r="B150">
        <v>1.0359530990000001</v>
      </c>
    </row>
    <row r="151" spans="1:2">
      <c r="A151">
        <v>0.80053764699999996</v>
      </c>
      <c r="B151">
        <v>4.4116772839999996</v>
      </c>
    </row>
    <row r="152" spans="1:2">
      <c r="A152">
        <v>0.18570658200000001</v>
      </c>
      <c r="B152">
        <v>1.7028721659999999</v>
      </c>
    </row>
    <row r="153" spans="1:2">
      <c r="A153">
        <v>0.53105732100000003</v>
      </c>
      <c r="B153">
        <v>7.0446419059999998</v>
      </c>
    </row>
    <row r="154" spans="1:2">
      <c r="A154">
        <v>0.222606265</v>
      </c>
      <c r="B154">
        <v>1.270905231</v>
      </c>
    </row>
    <row r="155" spans="1:2">
      <c r="A155">
        <v>0.233110013</v>
      </c>
      <c r="B155">
        <v>1.086767512</v>
      </c>
    </row>
    <row r="156" spans="1:2">
      <c r="A156">
        <v>0.54623366299999998</v>
      </c>
      <c r="B156">
        <v>1.0241392410000001</v>
      </c>
    </row>
    <row r="157" spans="1:2">
      <c r="A157">
        <v>0.64403819500000004</v>
      </c>
      <c r="B157">
        <v>7.4085316060000004</v>
      </c>
    </row>
    <row r="158" spans="1:2">
      <c r="A158">
        <v>0.32988484699999998</v>
      </c>
      <c r="B158">
        <v>1.092879787</v>
      </c>
    </row>
    <row r="159" spans="1:2">
      <c r="A159">
        <v>1.8059377590000001</v>
      </c>
      <c r="B159">
        <v>4.5556510640000001</v>
      </c>
    </row>
    <row r="160" spans="1:2">
      <c r="A160">
        <v>3.8547024510000001</v>
      </c>
      <c r="B160">
        <v>24.547831630000001</v>
      </c>
    </row>
    <row r="161" spans="1:2">
      <c r="A161">
        <v>0.58983882499999996</v>
      </c>
      <c r="B161">
        <v>5.2213518710000004</v>
      </c>
    </row>
    <row r="162" spans="1:2">
      <c r="A162">
        <v>4.4147011090000001</v>
      </c>
      <c r="B162">
        <v>143.06165590000001</v>
      </c>
    </row>
    <row r="163" spans="1:2">
      <c r="A163">
        <v>4.0915297050000001</v>
      </c>
      <c r="B163">
        <v>47.314873759999998</v>
      </c>
    </row>
    <row r="164" spans="1:2">
      <c r="A164">
        <v>2.8791937879999998</v>
      </c>
      <c r="B164">
        <v>26.045454679999999</v>
      </c>
    </row>
    <row r="165" spans="1:2">
      <c r="A165">
        <v>19.317507719999998</v>
      </c>
      <c r="B165">
        <v>181.6081926</v>
      </c>
    </row>
    <row r="166" spans="1:2">
      <c r="A166">
        <v>3.3225996819999999</v>
      </c>
      <c r="B166">
        <v>13.673228870000001</v>
      </c>
    </row>
    <row r="167" spans="1:2">
      <c r="A167">
        <v>4.5820538089999996</v>
      </c>
      <c r="B167">
        <v>3.4077581970000002</v>
      </c>
    </row>
    <row r="168" spans="1:2">
      <c r="A168">
        <v>29.06321458</v>
      </c>
      <c r="B168">
        <v>138.154551</v>
      </c>
    </row>
    <row r="169" spans="1:2">
      <c r="A169">
        <v>3.5161218339999998</v>
      </c>
      <c r="B169">
        <v>16.366822890000002</v>
      </c>
    </row>
    <row r="170" spans="1:2">
      <c r="A170">
        <v>1.156206595</v>
      </c>
      <c r="B170">
        <v>10.98854474</v>
      </c>
    </row>
    <row r="171" spans="1:2">
      <c r="A171">
        <v>6.1877852999999997E-2</v>
      </c>
      <c r="B171">
        <v>0.49288258699999998</v>
      </c>
    </row>
    <row r="172" spans="1:2">
      <c r="A172">
        <v>0.11730286099999999</v>
      </c>
      <c r="B172">
        <v>0.79263939000000005</v>
      </c>
    </row>
    <row r="173" spans="1:2">
      <c r="A173">
        <v>0.52462395299999998</v>
      </c>
      <c r="B173">
        <v>4.8002438209999996</v>
      </c>
    </row>
    <row r="174" spans="1:2">
      <c r="A174">
        <v>0.12688816</v>
      </c>
      <c r="B174">
        <v>1.104610106</v>
      </c>
    </row>
    <row r="175" spans="1:2">
      <c r="A175">
        <v>0.16809305899999999</v>
      </c>
      <c r="B175">
        <v>2.2219316930000002</v>
      </c>
    </row>
    <row r="176" spans="1:2">
      <c r="A176">
        <v>0.93143621899999995</v>
      </c>
      <c r="B176">
        <v>14.861282810000001</v>
      </c>
    </row>
    <row r="177" spans="1:2">
      <c r="A177">
        <v>0.31804352000000002</v>
      </c>
      <c r="B177">
        <v>5.2937525059999997</v>
      </c>
    </row>
    <row r="178" spans="1:2">
      <c r="A178">
        <v>0.18653773200000001</v>
      </c>
      <c r="B178">
        <v>2.5182633320000001</v>
      </c>
    </row>
    <row r="179" spans="1:2">
      <c r="A179">
        <v>0.14956794900000001</v>
      </c>
      <c r="B179">
        <v>1.1814975299999999</v>
      </c>
    </row>
    <row r="180" spans="1:2">
      <c r="A180">
        <v>0.32298600799999999</v>
      </c>
      <c r="B180">
        <v>4.6274789109999999</v>
      </c>
    </row>
    <row r="181" spans="1:2">
      <c r="A181">
        <v>1.7242786400000001</v>
      </c>
      <c r="B181">
        <v>12.1957583</v>
      </c>
    </row>
    <row r="182" spans="1:2">
      <c r="A182">
        <v>1.8408709240000001</v>
      </c>
      <c r="B182">
        <v>4.1698010759999997</v>
      </c>
    </row>
    <row r="183" spans="1:2">
      <c r="A183">
        <v>2.7961042009999999</v>
      </c>
      <c r="B183">
        <v>39.271048530000002</v>
      </c>
    </row>
    <row r="184" spans="1:2">
      <c r="A184">
        <v>1.1108170420000001</v>
      </c>
      <c r="B184">
        <v>47.53628604</v>
      </c>
    </row>
    <row r="185" spans="1:2">
      <c r="A185">
        <v>2.110071214</v>
      </c>
      <c r="B185">
        <v>16.680236709999999</v>
      </c>
    </row>
    <row r="186" spans="1:2">
      <c r="A186">
        <v>0.32648937300000003</v>
      </c>
      <c r="B186">
        <v>3.266044612</v>
      </c>
    </row>
    <row r="187" spans="1:2">
      <c r="A187">
        <v>1.0151768720000001</v>
      </c>
      <c r="B187">
        <v>25.73605319</v>
      </c>
    </row>
    <row r="188" spans="1:2">
      <c r="A188">
        <v>3.1492719400000002</v>
      </c>
      <c r="B188">
        <v>73.401978779999993</v>
      </c>
    </row>
    <row r="189" spans="1:2">
      <c r="A189">
        <v>5.1517570460000002</v>
      </c>
      <c r="B189">
        <v>32.996589329999999</v>
      </c>
    </row>
    <row r="190" spans="1:2">
      <c r="A190">
        <v>3.1991267400000001</v>
      </c>
      <c r="B190">
        <v>15.12498609</v>
      </c>
    </row>
    <row r="191" spans="1:2">
      <c r="A191">
        <v>19.394452269999999</v>
      </c>
      <c r="B191">
        <v>43.8258115</v>
      </c>
    </row>
    <row r="192" spans="1:2">
      <c r="A192">
        <v>1.207103185</v>
      </c>
      <c r="B192">
        <v>2.423096165</v>
      </c>
    </row>
    <row r="193" spans="1:2">
      <c r="A193">
        <v>0.47837887000000001</v>
      </c>
      <c r="B193">
        <v>2.8031039569999998</v>
      </c>
    </row>
    <row r="194" spans="1:2">
      <c r="A194">
        <v>0.275813904</v>
      </c>
      <c r="B194">
        <v>1.4164618229999999</v>
      </c>
    </row>
    <row r="195" spans="1:2">
      <c r="A195">
        <v>0.17428069299999999</v>
      </c>
      <c r="B195">
        <v>1.7018443919999999</v>
      </c>
    </row>
    <row r="196" spans="1:2">
      <c r="A196">
        <v>1.0307023529999999</v>
      </c>
      <c r="B196">
        <v>2.3927565909999999</v>
      </c>
    </row>
    <row r="197" spans="1:2">
      <c r="A197">
        <v>3.8929664640000001</v>
      </c>
      <c r="B197">
        <v>13.647984490000001</v>
      </c>
    </row>
    <row r="198" spans="1:2">
      <c r="A198">
        <v>3.558421542</v>
      </c>
      <c r="B198">
        <v>104.9486038</v>
      </c>
    </row>
    <row r="199" spans="1:2">
      <c r="A199">
        <v>3.6279836759999999</v>
      </c>
      <c r="B199">
        <v>6.6283016720000001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50C5-D9C6-4407-A106-8EB653A47E58}">
  <dimension ref="G1:Q199"/>
  <sheetViews>
    <sheetView topLeftCell="A19" zoomScale="40" zoomScaleNormal="40" workbookViewId="0">
      <selection activeCell="Y18" sqref="Y18"/>
    </sheetView>
  </sheetViews>
  <sheetFormatPr defaultRowHeight="22.5"/>
  <sheetData>
    <row r="1" spans="7:17">
      <c r="G1" t="s">
        <v>224</v>
      </c>
      <c r="H1" t="s">
        <v>226</v>
      </c>
    </row>
    <row r="2" spans="7:17">
      <c r="G2">
        <v>0.680005036150091</v>
      </c>
      <c r="H2">
        <v>1.0190579795974457</v>
      </c>
      <c r="J2" t="s">
        <v>228</v>
      </c>
      <c r="O2" t="s">
        <v>229</v>
      </c>
      <c r="P2" t="s">
        <v>231</v>
      </c>
      <c r="Q2" t="s">
        <v>232</v>
      </c>
    </row>
    <row r="3" spans="7:17">
      <c r="G3">
        <v>2.6098674369753416</v>
      </c>
      <c r="H3">
        <v>4.3549047780643102</v>
      </c>
      <c r="P3" cm="1">
        <f t="array" ref="P3:P21">FREQUENCY($G$2:$G$199,$O$4:$O$21)</f>
        <v>0</v>
      </c>
      <c r="Q3" cm="1">
        <f t="array" ref="Q3:Q21">FREQUENCY($H$2:$H$199,$O$4:$O$21)</f>
        <v>0</v>
      </c>
    </row>
    <row r="4" spans="7:17">
      <c r="G4">
        <v>-0.30977957784754573</v>
      </c>
      <c r="H4">
        <v>2.3076807848755281</v>
      </c>
      <c r="O4">
        <v>-3.5</v>
      </c>
      <c r="P4">
        <v>0</v>
      </c>
      <c r="Q4">
        <v>0</v>
      </c>
    </row>
    <row r="5" spans="7:17">
      <c r="G5">
        <v>-2.2978679213673636E-2</v>
      </c>
      <c r="H5">
        <v>0.48747236479099421</v>
      </c>
      <c r="O5">
        <v>-3</v>
      </c>
      <c r="P5">
        <v>1</v>
      </c>
      <c r="Q5">
        <v>0</v>
      </c>
    </row>
    <row r="6" spans="7:17">
      <c r="G6">
        <v>0.18522926281649441</v>
      </c>
      <c r="H6">
        <v>1.1862320782317126</v>
      </c>
      <c r="O6">
        <v>-2.5</v>
      </c>
      <c r="P6">
        <v>4</v>
      </c>
      <c r="Q6">
        <v>0</v>
      </c>
    </row>
    <row r="7" spans="7:17">
      <c r="G7">
        <v>0.4555784548979363</v>
      </c>
      <c r="H7">
        <v>3.864961800996058</v>
      </c>
      <c r="O7">
        <v>-2</v>
      </c>
      <c r="P7">
        <v>25</v>
      </c>
      <c r="Q7">
        <v>0</v>
      </c>
    </row>
    <row r="8" spans="7:17">
      <c r="G8">
        <v>0.70173322823158868</v>
      </c>
      <c r="H8">
        <v>2.7946963753578831</v>
      </c>
      <c r="O8">
        <v>-1.5</v>
      </c>
      <c r="P8">
        <v>24</v>
      </c>
      <c r="Q8">
        <v>0</v>
      </c>
    </row>
    <row r="9" spans="7:17">
      <c r="G9">
        <v>1.0479779006628347</v>
      </c>
      <c r="H9">
        <v>2.7608985704004327</v>
      </c>
      <c r="O9">
        <v>-1</v>
      </c>
      <c r="P9">
        <v>21</v>
      </c>
      <c r="Q9">
        <v>3</v>
      </c>
    </row>
    <row r="10" spans="7:17">
      <c r="G10">
        <v>0.15170339595518145</v>
      </c>
      <c r="H10">
        <v>2.166247833317986</v>
      </c>
      <c r="O10">
        <v>-0.5</v>
      </c>
      <c r="P10">
        <v>25</v>
      </c>
      <c r="Q10">
        <v>3</v>
      </c>
    </row>
    <row r="11" spans="7:17">
      <c r="G11">
        <v>2.2401858099474832</v>
      </c>
      <c r="H11">
        <v>4.3254156168824336</v>
      </c>
      <c r="O11">
        <v>0</v>
      </c>
      <c r="P11">
        <v>28</v>
      </c>
      <c r="Q11">
        <v>18</v>
      </c>
    </row>
    <row r="12" spans="7:17">
      <c r="G12">
        <v>-0.41590374509837097</v>
      </c>
      <c r="H12">
        <v>1.8254899182331759</v>
      </c>
      <c r="O12">
        <v>0.5</v>
      </c>
      <c r="P12">
        <v>19</v>
      </c>
      <c r="Q12">
        <v>22</v>
      </c>
    </row>
    <row r="13" spans="7:17">
      <c r="G13">
        <v>-1.6401943341856864</v>
      </c>
      <c r="H13">
        <v>0.19449292920821451</v>
      </c>
      <c r="O13">
        <v>1</v>
      </c>
      <c r="P13">
        <v>22</v>
      </c>
      <c r="Q13">
        <v>26</v>
      </c>
    </row>
    <row r="14" spans="7:17">
      <c r="G14">
        <v>-0.11799659345822765</v>
      </c>
      <c r="H14">
        <v>2.7264882238928232</v>
      </c>
      <c r="O14">
        <v>1.5</v>
      </c>
      <c r="P14">
        <v>6</v>
      </c>
      <c r="Q14">
        <v>32</v>
      </c>
    </row>
    <row r="15" spans="7:17">
      <c r="G15">
        <v>0.26539354540557875</v>
      </c>
      <c r="H15">
        <v>2.7397952299308912</v>
      </c>
      <c r="O15">
        <v>2</v>
      </c>
      <c r="P15">
        <v>11</v>
      </c>
      <c r="Q15">
        <v>23</v>
      </c>
    </row>
    <row r="16" spans="7:17">
      <c r="G16">
        <v>-0.39375870816608177</v>
      </c>
      <c r="H16">
        <v>4.0266068908560593</v>
      </c>
      <c r="O16">
        <v>2.5</v>
      </c>
      <c r="P16">
        <v>7</v>
      </c>
      <c r="Q16">
        <v>25</v>
      </c>
    </row>
    <row r="17" spans="7:17">
      <c r="G17">
        <v>3.086299607112359E-2</v>
      </c>
      <c r="H17">
        <v>2.2398163819915338</v>
      </c>
      <c r="O17">
        <v>3</v>
      </c>
      <c r="P17">
        <v>4</v>
      </c>
      <c r="Q17">
        <v>18</v>
      </c>
    </row>
    <row r="18" spans="7:17">
      <c r="G18">
        <v>0.93741670159774215</v>
      </c>
      <c r="H18">
        <v>2.5200992392989074</v>
      </c>
      <c r="O18">
        <v>3.5</v>
      </c>
      <c r="P18">
        <v>1</v>
      </c>
      <c r="Q18">
        <v>14</v>
      </c>
    </row>
    <row r="19" spans="7:17">
      <c r="G19">
        <v>2.3443058361587168</v>
      </c>
      <c r="H19">
        <v>2.7096835231718752</v>
      </c>
      <c r="O19">
        <v>4</v>
      </c>
      <c r="P19">
        <v>0</v>
      </c>
      <c r="Q19">
        <v>4</v>
      </c>
    </row>
    <row r="20" spans="7:17">
      <c r="G20">
        <v>0.63066816864324726</v>
      </c>
      <c r="H20">
        <v>3.2100532836531568</v>
      </c>
      <c r="O20">
        <v>4.5</v>
      </c>
      <c r="P20">
        <v>0</v>
      </c>
      <c r="Q20">
        <v>8</v>
      </c>
    </row>
    <row r="21" spans="7:17">
      <c r="G21">
        <v>2.0903060567669551</v>
      </c>
      <c r="H21">
        <v>3.693136471394427</v>
      </c>
      <c r="O21">
        <v>5</v>
      </c>
      <c r="P21">
        <v>0</v>
      </c>
      <c r="Q21">
        <v>2</v>
      </c>
    </row>
    <row r="22" spans="7:17">
      <c r="G22">
        <v>-0.24589080319009601</v>
      </c>
      <c r="H22">
        <v>2.8718595647316025</v>
      </c>
    </row>
    <row r="23" spans="7:17">
      <c r="G23">
        <v>0.50555586635278982</v>
      </c>
      <c r="H23">
        <v>2.9619732674078683</v>
      </c>
    </row>
    <row r="24" spans="7:17">
      <c r="G24">
        <v>0.79373267593249697</v>
      </c>
      <c r="H24">
        <v>2.3275226950842338</v>
      </c>
    </row>
    <row r="25" spans="7:17">
      <c r="G25">
        <v>0.18703746440091951</v>
      </c>
      <c r="H25">
        <v>2.6784469488327778</v>
      </c>
    </row>
    <row r="26" spans="7:17">
      <c r="G26">
        <v>0.55931558802279469</v>
      </c>
      <c r="H26">
        <v>3.0202166605644822</v>
      </c>
    </row>
    <row r="27" spans="7:17">
      <c r="G27">
        <v>1.545660045499089</v>
      </c>
      <c r="H27">
        <v>1.9115420801044616</v>
      </c>
    </row>
    <row r="28" spans="7:17">
      <c r="G28">
        <v>2.8621007947781596</v>
      </c>
      <c r="H28">
        <v>3.5563680479834265</v>
      </c>
    </row>
    <row r="29" spans="7:17">
      <c r="G29">
        <v>2.9428907913419025</v>
      </c>
      <c r="H29">
        <v>5.2304444000547559</v>
      </c>
    </row>
    <row r="30" spans="7:17">
      <c r="G30">
        <v>1.9079343044230148</v>
      </c>
      <c r="H30">
        <v>3.3314297626358189</v>
      </c>
    </row>
    <row r="31" spans="7:17">
      <c r="G31">
        <v>2.447594816430525</v>
      </c>
      <c r="H31">
        <v>4.6664851915524608</v>
      </c>
    </row>
    <row r="32" spans="7:17">
      <c r="G32">
        <v>-0.18553400197510936</v>
      </c>
      <c r="H32">
        <v>2.2736806888563481</v>
      </c>
    </row>
    <row r="33" spans="7:8">
      <c r="G33">
        <v>0.68427468915908407</v>
      </c>
      <c r="H33">
        <v>2.8522004722567131</v>
      </c>
    </row>
    <row r="34" spans="7:8">
      <c r="G34">
        <v>0.50886681515242083</v>
      </c>
      <c r="H34">
        <v>1.7708299539720727</v>
      </c>
    </row>
    <row r="35" spans="7:8">
      <c r="G35">
        <v>1.7072256164235477E-2</v>
      </c>
      <c r="H35">
        <v>1.3371266537024749</v>
      </c>
    </row>
    <row r="36" spans="7:8">
      <c r="G36">
        <v>-8.2012878686513468E-2</v>
      </c>
      <c r="H36">
        <v>1.3088623391597043</v>
      </c>
    </row>
    <row r="37" spans="7:8">
      <c r="G37">
        <v>-5.9613209091766657E-2</v>
      </c>
      <c r="H37">
        <v>1.1084680622455989</v>
      </c>
    </row>
    <row r="38" spans="7:8">
      <c r="G38">
        <v>0.8354597442896311</v>
      </c>
      <c r="H38">
        <v>2.495636177813271</v>
      </c>
    </row>
    <row r="39" spans="7:8">
      <c r="G39">
        <v>-0.20289306231325308</v>
      </c>
      <c r="H39">
        <v>1.4335068220841711</v>
      </c>
    </row>
    <row r="40" spans="7:8">
      <c r="G40">
        <v>8.1044905613063573E-2</v>
      </c>
      <c r="H40">
        <v>1.9454921492770056</v>
      </c>
    </row>
    <row r="41" spans="7:8">
      <c r="G41">
        <v>1.1972395378794338</v>
      </c>
      <c r="H41">
        <v>2.1175777823900064</v>
      </c>
    </row>
    <row r="42" spans="7:8">
      <c r="G42">
        <v>1.2187344182138331</v>
      </c>
      <c r="H42">
        <v>3.189898839586339</v>
      </c>
    </row>
    <row r="43" spans="7:8">
      <c r="G43">
        <v>-1.8472599043922115</v>
      </c>
      <c r="H43">
        <v>-0.56283000424867646</v>
      </c>
    </row>
    <row r="44" spans="7:8">
      <c r="G44">
        <v>-1.1159529832092747</v>
      </c>
      <c r="H44">
        <v>0.96657875692776141</v>
      </c>
    </row>
    <row r="45" spans="7:8">
      <c r="G45">
        <v>0.28774116670568112</v>
      </c>
      <c r="H45">
        <v>2.6391491289729974</v>
      </c>
    </row>
    <row r="46" spans="7:8">
      <c r="G46">
        <v>-1.6569052981108841</v>
      </c>
      <c r="H46">
        <v>0.67830599141918968</v>
      </c>
    </row>
    <row r="47" spans="7:8">
      <c r="G47">
        <v>-0.60221405701434383</v>
      </c>
      <c r="H47">
        <v>1.1588433331215657</v>
      </c>
    </row>
    <row r="48" spans="7:8">
      <c r="G48">
        <v>-1.562760502368179</v>
      </c>
      <c r="H48">
        <v>1.0123710826570214</v>
      </c>
    </row>
    <row r="49" spans="7:8">
      <c r="G49">
        <v>-0.22993657423885189</v>
      </c>
      <c r="H49">
        <v>1.8632340574846922</v>
      </c>
    </row>
    <row r="50" spans="7:8">
      <c r="G50">
        <v>-1.2054273249617244</v>
      </c>
      <c r="H50">
        <v>1.1041737672699548</v>
      </c>
    </row>
    <row r="51" spans="7:8">
      <c r="G51">
        <v>-1.7490876008599694</v>
      </c>
      <c r="H51">
        <v>0.55975732991788374</v>
      </c>
    </row>
    <row r="52" spans="7:8">
      <c r="G52">
        <v>0.48623792088240342</v>
      </c>
      <c r="H52">
        <v>1.8577935146365154</v>
      </c>
    </row>
    <row r="53" spans="7:8">
      <c r="G53">
        <v>-0.69853649285005592</v>
      </c>
      <c r="H53">
        <v>1.0953532882238175</v>
      </c>
    </row>
    <row r="54" spans="7:8">
      <c r="G54">
        <v>-0.51199830775783173</v>
      </c>
      <c r="H54">
        <v>0.97946097597249604</v>
      </c>
    </row>
    <row r="55" spans="7:8">
      <c r="G55">
        <v>0.26095138682577962</v>
      </c>
      <c r="H55">
        <v>2.5702718784519591</v>
      </c>
    </row>
    <row r="56" spans="7:8">
      <c r="G56">
        <v>0.27274723972114162</v>
      </c>
      <c r="H56">
        <v>2.10152565203571</v>
      </c>
    </row>
    <row r="57" spans="7:8">
      <c r="G57">
        <v>-1.7031385307777316</v>
      </c>
      <c r="H57">
        <v>0.88773089511240433</v>
      </c>
    </row>
    <row r="58" spans="7:8">
      <c r="G58">
        <v>-1.8229703612186434</v>
      </c>
      <c r="H58">
        <v>0.98296625349878397</v>
      </c>
    </row>
    <row r="59" spans="7:8">
      <c r="G59">
        <v>0.27241820381449994</v>
      </c>
      <c r="H59">
        <v>2.2841604731253633</v>
      </c>
    </row>
    <row r="60" spans="7:8">
      <c r="G60">
        <v>-0.38342653974526741</v>
      </c>
      <c r="H60">
        <v>1.399340599898776</v>
      </c>
    </row>
    <row r="61" spans="7:8">
      <c r="G61">
        <v>-0.47810344677931499</v>
      </c>
      <c r="H61">
        <v>0.6199859085288324</v>
      </c>
    </row>
    <row r="62" spans="7:8">
      <c r="G62">
        <v>-1.071108555859263</v>
      </c>
      <c r="H62">
        <v>0.24128085233185007</v>
      </c>
    </row>
    <row r="63" spans="7:8">
      <c r="G63">
        <v>-1.9639981368263739</v>
      </c>
      <c r="H63">
        <v>0.38097808723236798</v>
      </c>
    </row>
    <row r="64" spans="7:8">
      <c r="G64">
        <v>-1.2056657799340915</v>
      </c>
      <c r="H64">
        <v>2.1726922003074445</v>
      </c>
    </row>
    <row r="65" spans="7:8">
      <c r="G65">
        <v>-1.9033106609731492</v>
      </c>
      <c r="H65">
        <v>0.81074975060005561</v>
      </c>
    </row>
    <row r="66" spans="7:8">
      <c r="G66">
        <v>-0.42325039229995604</v>
      </c>
      <c r="H66">
        <v>1.8646278765815247</v>
      </c>
    </row>
    <row r="67" spans="7:8">
      <c r="G67">
        <v>-2.0061931468568774</v>
      </c>
      <c r="H67">
        <v>0.84501872269635303</v>
      </c>
    </row>
    <row r="68" spans="7:8">
      <c r="G68">
        <v>-0.66391232981414727</v>
      </c>
      <c r="H68">
        <v>0.35846339380842918</v>
      </c>
    </row>
    <row r="69" spans="7:8">
      <c r="G69">
        <v>-0.85008709468708665</v>
      </c>
      <c r="H69">
        <v>-0.22539288667329915</v>
      </c>
    </row>
    <row r="70" spans="7:8">
      <c r="G70">
        <v>-1.1472391338248178</v>
      </c>
      <c r="H70">
        <v>0.9586418087838493</v>
      </c>
    </row>
    <row r="71" spans="7:8">
      <c r="G71">
        <v>-5.5086853474115197E-2</v>
      </c>
      <c r="H71">
        <v>1.7792300515411434</v>
      </c>
    </row>
    <row r="72" spans="7:8">
      <c r="G72">
        <v>-0.98274407177427581</v>
      </c>
      <c r="H72">
        <v>0.74582182511889705</v>
      </c>
    </row>
    <row r="73" spans="7:8">
      <c r="G73">
        <v>-1.2963319460628415</v>
      </c>
      <c r="H73">
        <v>1.5625909942485812</v>
      </c>
    </row>
    <row r="74" spans="7:8">
      <c r="G74">
        <v>-0.54875475110877681</v>
      </c>
      <c r="H74">
        <v>2.3119946558763891</v>
      </c>
    </row>
    <row r="75" spans="7:8">
      <c r="G75">
        <v>-1.076950085572894</v>
      </c>
      <c r="H75">
        <v>0.40346450423410812</v>
      </c>
    </row>
    <row r="76" spans="7:8">
      <c r="G76">
        <v>-1.2937089774759316</v>
      </c>
      <c r="H76">
        <v>-0.57299532255767516</v>
      </c>
    </row>
    <row r="77" spans="7:8">
      <c r="G77">
        <v>1.3111769245899443</v>
      </c>
      <c r="H77">
        <v>2.7324193369893899</v>
      </c>
    </row>
    <row r="78" spans="7:8">
      <c r="G78">
        <v>2.4041397165236313</v>
      </c>
      <c r="H78">
        <v>3.8435614640460654</v>
      </c>
    </row>
    <row r="79" spans="7:8">
      <c r="G79">
        <v>2.5512681411177618</v>
      </c>
      <c r="H79">
        <v>3.8672283649723171</v>
      </c>
    </row>
    <row r="80" spans="7:8">
      <c r="G80">
        <v>2.371188001121836</v>
      </c>
      <c r="H80">
        <v>3.2422267917079326</v>
      </c>
    </row>
    <row r="81" spans="7:8">
      <c r="G81">
        <v>-0.87747561057751633</v>
      </c>
      <c r="H81">
        <v>1.6482224416268336</v>
      </c>
    </row>
    <row r="82" spans="7:8">
      <c r="G82">
        <v>0.19216208623963088</v>
      </c>
      <c r="H82">
        <v>2.0248643304770768</v>
      </c>
    </row>
    <row r="83" spans="7:8">
      <c r="G83">
        <v>2.4414771875960817</v>
      </c>
      <c r="H83">
        <v>3.8027536321305919</v>
      </c>
    </row>
    <row r="84" spans="7:8">
      <c r="G84">
        <v>-0.2465538771357747</v>
      </c>
      <c r="H84">
        <v>3.5074406112134149</v>
      </c>
    </row>
    <row r="85" spans="7:8">
      <c r="G85">
        <v>3.1727892048276778</v>
      </c>
      <c r="H85">
        <v>4.7313592874666188</v>
      </c>
    </row>
    <row r="86" spans="7:8">
      <c r="G86">
        <v>0.32337692899466358</v>
      </c>
      <c r="H86">
        <v>1.9196878014023666</v>
      </c>
    </row>
    <row r="87" spans="7:8">
      <c r="G87">
        <v>1.4473729923290504</v>
      </c>
      <c r="H87">
        <v>2.1088466839366777</v>
      </c>
    </row>
    <row r="88" spans="7:8">
      <c r="G88">
        <v>2.152801193438465</v>
      </c>
      <c r="H88">
        <v>4.5329472980384677</v>
      </c>
    </row>
    <row r="89" spans="7:8">
      <c r="G89">
        <v>2.2700118888808611</v>
      </c>
      <c r="H89">
        <v>3.7287830028319409</v>
      </c>
    </row>
    <row r="90" spans="7:8">
      <c r="G90">
        <v>0.62878767166539307</v>
      </c>
      <c r="H90">
        <v>2.7525533778295745</v>
      </c>
    </row>
    <row r="91" spans="7:8">
      <c r="G91">
        <v>1.3727705294564585</v>
      </c>
      <c r="H91">
        <v>3.0547868243949847</v>
      </c>
    </row>
    <row r="92" spans="7:8">
      <c r="G92">
        <v>0.51891176383733595</v>
      </c>
      <c r="H92">
        <v>2.3941547722039469</v>
      </c>
    </row>
    <row r="93" spans="7:8">
      <c r="G93">
        <v>-0.55737998046672177</v>
      </c>
      <c r="H93">
        <v>2.7181243744515964</v>
      </c>
    </row>
    <row r="94" spans="7:8">
      <c r="G94">
        <v>-1.2270765693866335</v>
      </c>
      <c r="H94">
        <v>0.70787837524544361</v>
      </c>
    </row>
    <row r="95" spans="7:8">
      <c r="G95">
        <v>1.1164843415125971</v>
      </c>
      <c r="H95">
        <v>2.3863286290695687</v>
      </c>
    </row>
    <row r="96" spans="7:8">
      <c r="G96">
        <v>-1.1917905568118996</v>
      </c>
      <c r="H96">
        <v>0.43370451022695888</v>
      </c>
    </row>
    <row r="97" spans="7:8">
      <c r="G97">
        <v>1.0720779762559398</v>
      </c>
      <c r="H97">
        <v>3.1814002448519023</v>
      </c>
    </row>
    <row r="98" spans="7:8">
      <c r="G98">
        <v>-1.6926675383579377</v>
      </c>
      <c r="H98">
        <v>0.91618234640066187</v>
      </c>
    </row>
    <row r="99" spans="7:8">
      <c r="G99">
        <v>8.100498023306324E-2</v>
      </c>
      <c r="H99">
        <v>3.5789498817514214</v>
      </c>
    </row>
    <row r="100" spans="7:8">
      <c r="G100">
        <v>0.82905657574382252</v>
      </c>
      <c r="H100">
        <v>2.5560003729399021</v>
      </c>
    </row>
    <row r="101" spans="7:8">
      <c r="G101">
        <v>-1.7022048939105441</v>
      </c>
      <c r="H101">
        <v>0.31128835812950667</v>
      </c>
    </row>
    <row r="102" spans="7:8">
      <c r="G102">
        <v>-1.215793190643369</v>
      </c>
      <c r="H102">
        <v>1.5492971663059403</v>
      </c>
    </row>
    <row r="103" spans="7:8">
      <c r="G103">
        <v>-0.74956835799015753</v>
      </c>
      <c r="H103">
        <v>1.6409231675818268</v>
      </c>
    </row>
    <row r="104" spans="7:8">
      <c r="G104">
        <v>-1.9051504227136811</v>
      </c>
      <c r="H104">
        <v>1.5789775612373975</v>
      </c>
    </row>
    <row r="105" spans="7:8">
      <c r="G105">
        <v>-8.8446045270551513E-2</v>
      </c>
      <c r="H105">
        <v>2.4681859023178214</v>
      </c>
    </row>
    <row r="106" spans="7:8">
      <c r="G106">
        <v>-0.45258777587280652</v>
      </c>
      <c r="H106">
        <v>1.0402268934531096</v>
      </c>
    </row>
    <row r="107" spans="7:8">
      <c r="G107">
        <v>0.69125696823368521</v>
      </c>
      <c r="H107">
        <v>3.4231788560950251</v>
      </c>
    </row>
    <row r="108" spans="7:8">
      <c r="G108">
        <v>-1.4823038717990589</v>
      </c>
      <c r="H108">
        <v>1.9817511741121905</v>
      </c>
    </row>
    <row r="109" spans="7:8">
      <c r="G109">
        <v>1.7007956258876726</v>
      </c>
      <c r="H109">
        <v>3.4427455969002989</v>
      </c>
    </row>
    <row r="110" spans="7:8">
      <c r="G110">
        <v>0.80891828074192784</v>
      </c>
      <c r="H110">
        <v>3.2837588626530958</v>
      </c>
    </row>
    <row r="111" spans="7:8">
      <c r="G111">
        <v>0.24952235514329282</v>
      </c>
      <c r="H111">
        <v>3.0202423719286808</v>
      </c>
    </row>
    <row r="112" spans="7:8">
      <c r="G112">
        <v>-1.5461024787786326</v>
      </c>
      <c r="H112">
        <v>0.24912822561372305</v>
      </c>
    </row>
    <row r="113" spans="7:8">
      <c r="G113">
        <v>-1.4644332156059237</v>
      </c>
      <c r="H113">
        <v>0.79118986231445432</v>
      </c>
    </row>
    <row r="114" spans="7:8">
      <c r="G114">
        <v>-0.97498562431656866</v>
      </c>
      <c r="H114">
        <v>0.82862821202792969</v>
      </c>
    </row>
    <row r="115" spans="7:8">
      <c r="G115">
        <v>-1.5596162946815701</v>
      </c>
      <c r="H115">
        <v>1.3634551678051388</v>
      </c>
    </row>
    <row r="116" spans="7:8">
      <c r="G116">
        <v>-1.9046680735014521</v>
      </c>
      <c r="H116">
        <v>0.77022284336749969</v>
      </c>
    </row>
    <row r="117" spans="7:8">
      <c r="G117">
        <v>-1.0694783135460326</v>
      </c>
      <c r="H117">
        <v>1.2906829305441083</v>
      </c>
    </row>
    <row r="118" spans="7:8">
      <c r="G118">
        <v>-2.1246182960846594</v>
      </c>
      <c r="H118">
        <v>-0.46121596055700675</v>
      </c>
    </row>
    <row r="119" spans="7:8">
      <c r="G119">
        <v>2.8100485000387723</v>
      </c>
      <c r="H119">
        <v>3.6733251138788892</v>
      </c>
    </row>
    <row r="120" spans="7:8">
      <c r="G120">
        <v>2.2872654285812639</v>
      </c>
      <c r="H120">
        <v>1.5115229709014855</v>
      </c>
    </row>
    <row r="121" spans="7:8">
      <c r="G121">
        <v>3.7969954579997323</v>
      </c>
      <c r="H121">
        <v>4.8462296941899075</v>
      </c>
    </row>
    <row r="122" spans="7:8">
      <c r="G122">
        <v>1.1561338713875902</v>
      </c>
      <c r="H122">
        <v>1.6923948610257085</v>
      </c>
    </row>
    <row r="123" spans="7:8">
      <c r="G123">
        <v>3.3707614787168905</v>
      </c>
      <c r="H123">
        <v>3.0373530436880465</v>
      </c>
    </row>
    <row r="124" spans="7:8">
      <c r="G124">
        <v>2.4074757620912615</v>
      </c>
      <c r="H124">
        <v>4.9998404616453058</v>
      </c>
    </row>
    <row r="125" spans="7:8">
      <c r="G125">
        <v>-0.1904828053696678</v>
      </c>
      <c r="H125">
        <v>1.9251631472807522</v>
      </c>
    </row>
    <row r="126" spans="7:8">
      <c r="G126">
        <v>1.8170663029021272</v>
      </c>
      <c r="H126">
        <v>1.2966013912353793</v>
      </c>
    </row>
    <row r="127" spans="7:8">
      <c r="G127">
        <v>3.119010658967853</v>
      </c>
      <c r="H127">
        <v>1.6719570921359534</v>
      </c>
    </row>
    <row r="128" spans="7:8">
      <c r="G128">
        <v>0.39801144713269687</v>
      </c>
      <c r="H128">
        <v>1.8914798669816775</v>
      </c>
    </row>
    <row r="129" spans="7:8">
      <c r="G129">
        <v>-1.7004173609073387</v>
      </c>
      <c r="H129">
        <v>1.0015932250532282</v>
      </c>
    </row>
    <row r="130" spans="7:8">
      <c r="G130">
        <v>-1.5217866693691047</v>
      </c>
      <c r="H130">
        <v>1.6464878555932156</v>
      </c>
    </row>
    <row r="131" spans="7:8">
      <c r="G131">
        <v>-0.88536497356620947</v>
      </c>
      <c r="H131">
        <v>1.534115022227764</v>
      </c>
    </row>
    <row r="132" spans="7:8">
      <c r="G132">
        <v>-1.2352173200844851</v>
      </c>
      <c r="H132">
        <v>2.2118981915689804</v>
      </c>
    </row>
    <row r="133" spans="7:8">
      <c r="G133">
        <v>-1.1003183772098559</v>
      </c>
      <c r="H133">
        <v>1.7158925402728444</v>
      </c>
    </row>
    <row r="134" spans="7:8">
      <c r="G134">
        <v>-1.5942824833223208</v>
      </c>
      <c r="H134">
        <v>1.0343095591072975</v>
      </c>
    </row>
    <row r="135" spans="7:8">
      <c r="G135">
        <v>0.36781302230878438</v>
      </c>
      <c r="H135">
        <v>2.7157016612126808</v>
      </c>
    </row>
    <row r="136" spans="7:8">
      <c r="G136">
        <v>-1.750936461588313</v>
      </c>
      <c r="H136">
        <v>0.35897464549689406</v>
      </c>
    </row>
    <row r="137" spans="7:8">
      <c r="G137">
        <v>0.41748213685275593</v>
      </c>
      <c r="H137">
        <v>1.1836609379895631</v>
      </c>
    </row>
    <row r="138" spans="7:8">
      <c r="G138">
        <v>-1.0969258584911985</v>
      </c>
      <c r="H138">
        <v>1.2546625132174047</v>
      </c>
    </row>
    <row r="139" spans="7:8">
      <c r="G139">
        <v>0.44117233439400411</v>
      </c>
      <c r="H139">
        <v>2.4238122335729559</v>
      </c>
    </row>
    <row r="140" spans="7:8">
      <c r="G140">
        <v>0.32809782966883516</v>
      </c>
      <c r="H140">
        <v>3.1675466287835605</v>
      </c>
    </row>
    <row r="141" spans="7:8">
      <c r="G141">
        <v>-0.52028000592204726</v>
      </c>
      <c r="H141">
        <v>1.965440945711413</v>
      </c>
    </row>
    <row r="142" spans="7:8">
      <c r="G142">
        <v>1.1758725414683752E-2</v>
      </c>
      <c r="H142">
        <v>3.2074059838119178</v>
      </c>
    </row>
    <row r="143" spans="7:8">
      <c r="G143">
        <v>-0.6575910179082991</v>
      </c>
      <c r="H143">
        <v>2.6345996768847875</v>
      </c>
    </row>
    <row r="144" spans="7:8">
      <c r="G144">
        <v>-0.21264595068601161</v>
      </c>
      <c r="H144">
        <v>2.0918577944982606</v>
      </c>
    </row>
    <row r="145" spans="7:8">
      <c r="G145">
        <v>-0.71441587829239328</v>
      </c>
      <c r="H145">
        <v>1.8366325009656153</v>
      </c>
    </row>
    <row r="146" spans="7:8">
      <c r="G146">
        <v>-0.3856868855215419</v>
      </c>
      <c r="H146">
        <v>2.3342614806942765</v>
      </c>
    </row>
    <row r="147" spans="7:8">
      <c r="G147">
        <v>-0.39261636488155971</v>
      </c>
      <c r="H147">
        <v>1.1919034464670384</v>
      </c>
    </row>
    <row r="148" spans="7:8">
      <c r="G148">
        <v>-0.51200951428790031</v>
      </c>
      <c r="H148">
        <v>1.4712410254106574</v>
      </c>
    </row>
    <row r="149" spans="7:8">
      <c r="G149">
        <v>1.0104707398202446</v>
      </c>
      <c r="H149">
        <v>2.4609119268243358</v>
      </c>
    </row>
    <row r="150" spans="7:8">
      <c r="G150">
        <v>-1.1837523917651553</v>
      </c>
      <c r="H150">
        <v>3.5321871576996865E-2</v>
      </c>
    </row>
    <row r="151" spans="7:8">
      <c r="G151">
        <v>-0.22247171829456114</v>
      </c>
      <c r="H151">
        <v>1.4842549536570955</v>
      </c>
    </row>
    <row r="152" spans="7:8">
      <c r="G152">
        <v>-1.6835873669866666</v>
      </c>
      <c r="H152">
        <v>0.53231633485841023</v>
      </c>
    </row>
    <row r="153" spans="7:8">
      <c r="G153">
        <v>-0.63288531441374629</v>
      </c>
      <c r="H153">
        <v>1.9522673145342939</v>
      </c>
    </row>
    <row r="154" spans="7:8">
      <c r="G154">
        <v>-1.5023506958826578</v>
      </c>
      <c r="H154">
        <v>0.23972942687821805</v>
      </c>
    </row>
    <row r="155" spans="7:8">
      <c r="G155">
        <v>-1.4562447780500443</v>
      </c>
      <c r="H155">
        <v>8.3207704858612966E-2</v>
      </c>
    </row>
    <row r="156" spans="7:8">
      <c r="G156">
        <v>-0.60470844057106432</v>
      </c>
      <c r="H156">
        <v>2.3852494912271049E-2</v>
      </c>
    </row>
    <row r="157" spans="7:8">
      <c r="G157">
        <v>-0.43999724563028175</v>
      </c>
      <c r="H157">
        <v>2.0026322558382903</v>
      </c>
    </row>
    <row r="158" spans="7:8">
      <c r="G158">
        <v>-1.1090116339031493</v>
      </c>
      <c r="H158">
        <v>8.8816218699191166E-2</v>
      </c>
    </row>
    <row r="159" spans="7:8">
      <c r="G159">
        <v>0.59107999094576569</v>
      </c>
      <c r="H159">
        <v>1.5163684544166129</v>
      </c>
    </row>
    <row r="160" spans="7:8">
      <c r="G160">
        <v>1.3492938188223531</v>
      </c>
      <c r="H160">
        <v>3.200623525696094</v>
      </c>
    </row>
    <row r="161" spans="7:8">
      <c r="G161">
        <v>-0.52790595736837109</v>
      </c>
      <c r="H161">
        <v>1.6527563474840181</v>
      </c>
    </row>
    <row r="162" spans="7:8">
      <c r="G162">
        <v>1.4849401327834966</v>
      </c>
      <c r="H162">
        <v>4.9632756974769432</v>
      </c>
    </row>
    <row r="163" spans="7:8">
      <c r="G163">
        <v>1.4089189111324749</v>
      </c>
      <c r="H163">
        <v>3.8568247018809734</v>
      </c>
    </row>
    <row r="164" spans="7:8">
      <c r="G164">
        <v>1.0575103202365941</v>
      </c>
      <c r="H164">
        <v>3.2598432685222178</v>
      </c>
    </row>
    <row r="165" spans="7:8">
      <c r="G165">
        <v>2.9610118204631561</v>
      </c>
      <c r="H165">
        <v>5.2018515785857362</v>
      </c>
    </row>
    <row r="166" spans="7:8">
      <c r="G166">
        <v>1.2007475132620564</v>
      </c>
      <c r="H166">
        <v>2.6154398240151999</v>
      </c>
    </row>
    <row r="167" spans="7:8">
      <c r="G167">
        <v>1.522147327524112</v>
      </c>
      <c r="H167">
        <v>1.2260546548653795</v>
      </c>
    </row>
    <row r="168" spans="7:8">
      <c r="G168">
        <v>3.3694732707442272</v>
      </c>
      <c r="H168">
        <v>4.9283729932806892</v>
      </c>
    </row>
    <row r="169" spans="7:8">
      <c r="G169">
        <v>1.2573586305308926</v>
      </c>
      <c r="H169">
        <v>2.7952562913006593</v>
      </c>
    </row>
    <row r="170" spans="7:8">
      <c r="G170">
        <v>0.14514446968041531</v>
      </c>
      <c r="H170">
        <v>2.3968533429051662</v>
      </c>
    </row>
    <row r="171" spans="7:8">
      <c r="G171">
        <v>-2.7825929500653652</v>
      </c>
      <c r="H171">
        <v>-0.70748429354750908</v>
      </c>
    </row>
    <row r="172" spans="7:8">
      <c r="G172">
        <v>-2.1429961331683165</v>
      </c>
      <c r="H172">
        <v>-0.23238690226157563</v>
      </c>
    </row>
    <row r="173" spans="7:8">
      <c r="G173">
        <v>-0.64507355304159586</v>
      </c>
      <c r="H173">
        <v>1.5686667126654366</v>
      </c>
    </row>
    <row r="174" spans="7:8">
      <c r="G174">
        <v>-2.0644492104271306</v>
      </c>
      <c r="H174">
        <v>9.9492427456315591E-2</v>
      </c>
    </row>
    <row r="175" spans="7:8">
      <c r="G175">
        <v>-1.7832375303183345</v>
      </c>
      <c r="H175">
        <v>0.79837694952079474</v>
      </c>
    </row>
    <row r="176" spans="7:8">
      <c r="G176">
        <v>-7.1027562567636329E-2</v>
      </c>
      <c r="H176">
        <v>2.6987593619432482</v>
      </c>
    </row>
    <row r="177" spans="7:8">
      <c r="G177">
        <v>-1.1455670502198867</v>
      </c>
      <c r="H177">
        <v>1.6665273528065452</v>
      </c>
    </row>
    <row r="178" spans="7:8">
      <c r="G178">
        <v>-1.679121744007573</v>
      </c>
      <c r="H178">
        <v>0.92356950997932485</v>
      </c>
    </row>
    <row r="179" spans="7:8">
      <c r="G179">
        <v>-1.9000044810478307</v>
      </c>
      <c r="H179">
        <v>0.16678272707979633</v>
      </c>
    </row>
    <row r="180" spans="7:8">
      <c r="G180">
        <v>-1.1301462755832195</v>
      </c>
      <c r="H180">
        <v>1.5320122081347636</v>
      </c>
    </row>
    <row r="181" spans="7:8">
      <c r="G181">
        <v>0.54480878331165927</v>
      </c>
      <c r="H181">
        <v>2.5010882109565236</v>
      </c>
    </row>
    <row r="182" spans="7:8">
      <c r="G182">
        <v>0.61023878789727815</v>
      </c>
      <c r="H182">
        <v>1.427868331075735</v>
      </c>
    </row>
    <row r="183" spans="7:8">
      <c r="G183">
        <v>1.0282270915598231</v>
      </c>
      <c r="H183">
        <v>3.6704875687682246</v>
      </c>
    </row>
    <row r="184" spans="7:8">
      <c r="G184">
        <v>0.10509581842860559</v>
      </c>
      <c r="H184">
        <v>3.8614933360363786</v>
      </c>
    </row>
    <row r="185" spans="7:8">
      <c r="G185">
        <v>0.74672169762933316</v>
      </c>
      <c r="H185">
        <v>2.8142245880769083</v>
      </c>
    </row>
    <row r="186" spans="7:8">
      <c r="G186">
        <v>-1.119357879034254</v>
      </c>
      <c r="H186">
        <v>1.1835796539773344</v>
      </c>
    </row>
    <row r="187" spans="7:8">
      <c r="G187">
        <v>1.5062855440645539E-2</v>
      </c>
      <c r="H187">
        <v>3.2478928566893299</v>
      </c>
    </row>
    <row r="188" spans="7:8">
      <c r="G188">
        <v>1.14717129596412</v>
      </c>
      <c r="H188">
        <v>4.2959508941126723</v>
      </c>
    </row>
    <row r="189" spans="7:8">
      <c r="G189">
        <v>1.6393378304696189</v>
      </c>
      <c r="H189">
        <v>3.4964042024887614</v>
      </c>
    </row>
    <row r="190" spans="7:8">
      <c r="G190">
        <v>1.162877878813406</v>
      </c>
      <c r="H190">
        <v>2.7163480842470609</v>
      </c>
    </row>
    <row r="191" spans="7:8">
      <c r="G191">
        <v>2.9649870597094448</v>
      </c>
      <c r="H191">
        <v>3.780222947464158</v>
      </c>
    </row>
    <row r="192" spans="7:8">
      <c r="G192">
        <v>0.18822342727667835</v>
      </c>
      <c r="H192">
        <v>0.88504612944963135</v>
      </c>
    </row>
    <row r="193" spans="7:8">
      <c r="G193">
        <v>-0.73735224538135324</v>
      </c>
      <c r="H193">
        <v>1.0307273592580279</v>
      </c>
    </row>
    <row r="194" spans="7:8">
      <c r="G194">
        <v>-1.2880289015506434</v>
      </c>
      <c r="H194">
        <v>0.34816208828386253</v>
      </c>
    </row>
    <row r="195" spans="7:8">
      <c r="G195">
        <v>-1.7470881013809207</v>
      </c>
      <c r="H195">
        <v>0.5317125994145282</v>
      </c>
    </row>
    <row r="196" spans="7:8">
      <c r="G196">
        <v>3.0240465972528167E-2</v>
      </c>
      <c r="H196">
        <v>0.87244608666118517</v>
      </c>
    </row>
    <row r="197" spans="7:8">
      <c r="G197">
        <v>1.3591714541550468</v>
      </c>
      <c r="H197">
        <v>2.6135918543184316</v>
      </c>
    </row>
    <row r="198" spans="7:8">
      <c r="G198">
        <v>1.2693170594601715</v>
      </c>
      <c r="H198">
        <v>4.6534707427003035</v>
      </c>
    </row>
    <row r="199" spans="7:8">
      <c r="G199">
        <v>1.2886770327940356</v>
      </c>
      <c r="H199">
        <v>1.8913486133143074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CED5-C968-445C-AAC2-346351CA8E6F}">
  <dimension ref="A1:O199"/>
  <sheetViews>
    <sheetView topLeftCell="C1" zoomScale="85" zoomScaleNormal="85" workbookViewId="0">
      <selection activeCell="O2" sqref="O2"/>
    </sheetView>
  </sheetViews>
  <sheetFormatPr defaultRowHeight="22.5"/>
  <sheetData>
    <row r="1" spans="1:15">
      <c r="A1" t="s">
        <v>235</v>
      </c>
      <c r="B1" t="s">
        <v>10</v>
      </c>
      <c r="C1" t="s">
        <v>233</v>
      </c>
      <c r="D1" t="s">
        <v>234</v>
      </c>
      <c r="G1" t="s">
        <v>224</v>
      </c>
      <c r="H1" t="s">
        <v>226</v>
      </c>
      <c r="I1" t="s">
        <v>233</v>
      </c>
      <c r="J1" t="s">
        <v>233</v>
      </c>
      <c r="K1" t="s">
        <v>229</v>
      </c>
      <c r="L1" t="s">
        <v>231</v>
      </c>
      <c r="M1" t="s">
        <v>232</v>
      </c>
      <c r="N1" t="s">
        <v>236</v>
      </c>
      <c r="O1" t="s">
        <v>229</v>
      </c>
    </row>
    <row r="2" spans="1:15">
      <c r="A2">
        <v>1.9738876729999999</v>
      </c>
      <c r="B2">
        <v>2.770583588</v>
      </c>
      <c r="C2">
        <f>B2-A2</f>
        <v>0.79669591500000014</v>
      </c>
      <c r="D2">
        <f>C2/A2</f>
        <v>0.40361765560304008</v>
      </c>
      <c r="F2">
        <f>MIN(D2:D199)</f>
        <v>-0.76473754702107488</v>
      </c>
      <c r="G2">
        <v>0.680005036150091</v>
      </c>
      <c r="H2">
        <v>1.0190579795974457</v>
      </c>
      <c r="I2">
        <f>H2-G2</f>
        <v>0.3390529434473547</v>
      </c>
      <c r="J2">
        <f>MIN(I2:I199)</f>
        <v>-1.4470535668318996</v>
      </c>
      <c r="K2">
        <v>-3</v>
      </c>
      <c r="L2" cm="1">
        <f t="array" ref="L2:L19">FREQUENCY($G$2:$G$199,$K$2:$K$18)</f>
        <v>0</v>
      </c>
      <c r="M2" cm="1">
        <f t="array" ref="M2:M19">FREQUENCY($H$2:$H$199,$K$2:$K$18)</f>
        <v>0</v>
      </c>
      <c r="O2" t="str">
        <f>"     "&amp;K2</f>
        <v xml:space="preserve">     -3</v>
      </c>
    </row>
    <row r="3" spans="1:15">
      <c r="A3">
        <v>13.597248240000001</v>
      </c>
      <c r="B3">
        <v>77.859411059999999</v>
      </c>
      <c r="C3">
        <f t="shared" ref="C3:C66" si="0">B3-A3</f>
        <v>64.26216282</v>
      </c>
      <c r="D3">
        <f t="shared" ref="D3:D66" si="1">C3/A3</f>
        <v>4.7261152908097523</v>
      </c>
      <c r="F3">
        <f>MAX(D2:D199)</f>
        <v>82.126670833125829</v>
      </c>
      <c r="G3">
        <v>2.6098674369753416</v>
      </c>
      <c r="H3">
        <v>4.3549047780643102</v>
      </c>
      <c r="I3">
        <f t="shared" ref="I3:I66" si="2">H3-G3</f>
        <v>1.7450373410889686</v>
      </c>
      <c r="J3">
        <f>MAX(I2:I199)</f>
        <v>4.4203655990221407</v>
      </c>
      <c r="K3">
        <v>-2.5</v>
      </c>
      <c r="L3">
        <v>1</v>
      </c>
      <c r="M3">
        <v>0</v>
      </c>
      <c r="N3">
        <f t="shared" ref="N3:N16" si="3">AVERAGEIFS(I:I,G:G,"&gt;="&amp;K2,G:G,"&lt;"&amp;K3)</f>
        <v>2.0751086565178563</v>
      </c>
      <c r="O3" t="str">
        <f t="shared" ref="O3:O19" si="4">"          "&amp;K3</f>
        <v xml:space="preserve">          -2.5</v>
      </c>
    </row>
    <row r="4" spans="1:15">
      <c r="A4">
        <v>0.73360864199999998</v>
      </c>
      <c r="B4">
        <v>10.05108697</v>
      </c>
      <c r="C4">
        <f t="shared" si="0"/>
        <v>9.317478328</v>
      </c>
      <c r="D4">
        <f t="shared" si="1"/>
        <v>12.700884088003969</v>
      </c>
      <c r="G4">
        <v>-0.30977957784754573</v>
      </c>
      <c r="H4">
        <v>2.3076807848755281</v>
      </c>
      <c r="I4">
        <f t="shared" si="2"/>
        <v>2.6174603627230737</v>
      </c>
      <c r="J4" t="s">
        <v>225</v>
      </c>
      <c r="K4">
        <v>-2</v>
      </c>
      <c r="L4">
        <v>4</v>
      </c>
      <c r="M4">
        <v>0</v>
      </c>
      <c r="N4">
        <f t="shared" si="3"/>
        <v>2.1472912684677672</v>
      </c>
      <c r="O4" t="str">
        <f t="shared" si="4"/>
        <v xml:space="preserve">          -2</v>
      </c>
    </row>
    <row r="5" spans="1:15">
      <c r="A5">
        <v>0.97728331999999996</v>
      </c>
      <c r="B5">
        <v>1.6281955299999999</v>
      </c>
      <c r="C5">
        <f t="shared" si="0"/>
        <v>0.65091220999999999</v>
      </c>
      <c r="D5">
        <f t="shared" si="1"/>
        <v>0.6660424839748621</v>
      </c>
      <c r="G5">
        <v>-2.2978679213673636E-2</v>
      </c>
      <c r="H5">
        <v>0.48747236479099421</v>
      </c>
      <c r="I5">
        <f t="shared" si="2"/>
        <v>0.5104510440046679</v>
      </c>
      <c r="J5">
        <f>MIN(G2:G199)</f>
        <v>-2.7825929500653652</v>
      </c>
      <c r="K5">
        <v>-1.5</v>
      </c>
      <c r="L5">
        <v>25</v>
      </c>
      <c r="M5">
        <v>0</v>
      </c>
      <c r="N5">
        <f t="shared" si="3"/>
        <v>2.4156191030960237</v>
      </c>
      <c r="O5" t="str">
        <f t="shared" si="4"/>
        <v xml:space="preserve">          -1.5</v>
      </c>
    </row>
    <row r="6" spans="1:15">
      <c r="A6">
        <v>1.2034943250000001</v>
      </c>
      <c r="B6">
        <v>3.274719047</v>
      </c>
      <c r="C6">
        <f t="shared" si="0"/>
        <v>2.0712247220000002</v>
      </c>
      <c r="D6">
        <f t="shared" si="1"/>
        <v>1.7210091306413098</v>
      </c>
      <c r="G6">
        <v>0.18522926281649441</v>
      </c>
      <c r="H6">
        <v>1.1862320782317126</v>
      </c>
      <c r="I6">
        <f t="shared" si="2"/>
        <v>1.0010028154152182</v>
      </c>
      <c r="J6">
        <f>MAX(G3:G200)</f>
        <v>3.7969954579997323</v>
      </c>
      <c r="K6">
        <v>-1</v>
      </c>
      <c r="L6">
        <v>24</v>
      </c>
      <c r="M6">
        <v>0</v>
      </c>
      <c r="N6">
        <f t="shared" si="3"/>
        <v>2.1932851205948807</v>
      </c>
      <c r="O6" t="str">
        <f t="shared" si="4"/>
        <v xml:space="preserve">          -1</v>
      </c>
    </row>
    <row r="7" spans="1:15">
      <c r="A7">
        <v>1.5770853920000001</v>
      </c>
      <c r="B7">
        <v>47.701450250000001</v>
      </c>
      <c r="C7">
        <f t="shared" si="0"/>
        <v>46.124364858</v>
      </c>
      <c r="D7">
        <f t="shared" si="1"/>
        <v>29.246586831615264</v>
      </c>
      <c r="G7">
        <v>0.4555784548979363</v>
      </c>
      <c r="H7">
        <v>3.864961800996058</v>
      </c>
      <c r="I7">
        <f t="shared" si="2"/>
        <v>3.4093833460981218</v>
      </c>
      <c r="J7" t="s">
        <v>227</v>
      </c>
      <c r="K7">
        <v>-0.5</v>
      </c>
      <c r="L7">
        <v>21</v>
      </c>
      <c r="M7">
        <v>3</v>
      </c>
      <c r="N7">
        <f t="shared" si="3"/>
        <v>2.0659993219191062</v>
      </c>
      <c r="O7" t="str">
        <f t="shared" si="4"/>
        <v xml:space="preserve">          -0.5</v>
      </c>
    </row>
    <row r="8" spans="1:15">
      <c r="A8">
        <v>2.0172460270000001</v>
      </c>
      <c r="B8">
        <v>16.357661409999999</v>
      </c>
      <c r="C8">
        <f t="shared" si="0"/>
        <v>14.340415382999998</v>
      </c>
      <c r="D8">
        <f t="shared" si="1"/>
        <v>7.1089074862755934</v>
      </c>
      <c r="G8">
        <v>0.70173322823158868</v>
      </c>
      <c r="H8">
        <v>2.7946963753578831</v>
      </c>
      <c r="I8">
        <f t="shared" si="2"/>
        <v>2.0929631471262944</v>
      </c>
      <c r="J8">
        <f>MIN(H2:H199)</f>
        <v>-0.70748429354750908</v>
      </c>
      <c r="K8">
        <v>0</v>
      </c>
      <c r="L8">
        <v>25</v>
      </c>
      <c r="M8">
        <v>3</v>
      </c>
      <c r="N8">
        <f t="shared" si="3"/>
        <v>2.197996051917313</v>
      </c>
      <c r="O8" t="str">
        <f t="shared" si="4"/>
        <v xml:space="preserve">          0</v>
      </c>
    </row>
    <row r="9" spans="1:15">
      <c r="A9">
        <v>2.8518785019999999</v>
      </c>
      <c r="B9">
        <v>15.814046599999999</v>
      </c>
      <c r="C9">
        <f t="shared" si="0"/>
        <v>12.962168097999999</v>
      </c>
      <c r="D9">
        <f t="shared" si="1"/>
        <v>4.5451333529495503</v>
      </c>
      <c r="G9">
        <v>1.0479779006628347</v>
      </c>
      <c r="H9">
        <v>2.7608985704004327</v>
      </c>
      <c r="I9">
        <f t="shared" si="2"/>
        <v>1.712920669737598</v>
      </c>
      <c r="J9">
        <f>MAX(H2:H199)</f>
        <v>5.2304444000547559</v>
      </c>
      <c r="K9">
        <v>0.5</v>
      </c>
      <c r="L9">
        <v>28</v>
      </c>
      <c r="M9">
        <v>18</v>
      </c>
      <c r="N9">
        <f t="shared" si="3"/>
        <v>2.1342827175250454</v>
      </c>
      <c r="O9" t="str">
        <f t="shared" si="4"/>
        <v xml:space="preserve">          0.5</v>
      </c>
    </row>
    <row r="10" spans="1:15">
      <c r="A10">
        <v>1.1638149929999999</v>
      </c>
      <c r="B10">
        <v>8.7254830749999996</v>
      </c>
      <c r="C10">
        <f t="shared" si="0"/>
        <v>7.5616680819999997</v>
      </c>
      <c r="D10">
        <f t="shared" si="1"/>
        <v>6.4973111082785309</v>
      </c>
      <c r="G10">
        <v>0.15170339595518145</v>
      </c>
      <c r="H10">
        <v>2.166247833317986</v>
      </c>
      <c r="I10">
        <f t="shared" si="2"/>
        <v>2.0145444373628045</v>
      </c>
      <c r="K10">
        <v>1</v>
      </c>
      <c r="L10">
        <v>19</v>
      </c>
      <c r="M10">
        <v>22</v>
      </c>
      <c r="N10">
        <f t="shared" si="3"/>
        <v>1.8334038367218564</v>
      </c>
      <c r="O10" t="str">
        <f t="shared" si="4"/>
        <v xml:space="preserve">          1</v>
      </c>
    </row>
    <row r="11" spans="1:15">
      <c r="A11">
        <v>9.3950768240000002</v>
      </c>
      <c r="B11">
        <v>75.596925690000006</v>
      </c>
      <c r="C11">
        <f t="shared" si="0"/>
        <v>66.201848866000006</v>
      </c>
      <c r="D11">
        <f t="shared" si="1"/>
        <v>7.0464403970476788</v>
      </c>
      <c r="G11">
        <v>2.2401858099474832</v>
      </c>
      <c r="H11">
        <v>4.3254156168824336</v>
      </c>
      <c r="I11">
        <f t="shared" si="2"/>
        <v>2.0852298069349504</v>
      </c>
      <c r="K11">
        <v>1.5</v>
      </c>
      <c r="L11">
        <v>22</v>
      </c>
      <c r="M11">
        <v>26</v>
      </c>
      <c r="N11">
        <f t="shared" si="3"/>
        <v>1.7842397451909107</v>
      </c>
      <c r="O11" t="str">
        <f t="shared" si="4"/>
        <v xml:space="preserve">          1.5</v>
      </c>
    </row>
    <row r="12" spans="1:15">
      <c r="A12">
        <v>0.65974377100000003</v>
      </c>
      <c r="B12">
        <v>6.2058346259999997</v>
      </c>
      <c r="C12">
        <f t="shared" si="0"/>
        <v>5.5460908549999992</v>
      </c>
      <c r="D12">
        <f t="shared" si="1"/>
        <v>8.4064315553803066</v>
      </c>
      <c r="G12">
        <v>-0.41590374509837097</v>
      </c>
      <c r="H12">
        <v>1.8254899182331759</v>
      </c>
      <c r="I12">
        <f t="shared" si="2"/>
        <v>2.241393663331547</v>
      </c>
      <c r="K12">
        <v>2</v>
      </c>
      <c r="L12">
        <v>6</v>
      </c>
      <c r="M12">
        <v>32</v>
      </c>
      <c r="N12">
        <f t="shared" si="3"/>
        <v>0.76197270858741095</v>
      </c>
      <c r="O12" t="str">
        <f t="shared" si="4"/>
        <v xml:space="preserve">          2</v>
      </c>
    </row>
    <row r="13" spans="1:15">
      <c r="A13">
        <v>0.19394234900000001</v>
      </c>
      <c r="B13">
        <v>1.214694894</v>
      </c>
      <c r="C13">
        <f t="shared" si="0"/>
        <v>1.0207525449999999</v>
      </c>
      <c r="D13">
        <f t="shared" si="1"/>
        <v>5.2631751149925474</v>
      </c>
      <c r="G13">
        <v>-1.6401943341856864</v>
      </c>
      <c r="H13">
        <v>0.19449292920821451</v>
      </c>
      <c r="I13">
        <f t="shared" si="2"/>
        <v>1.8346872633939009</v>
      </c>
      <c r="K13">
        <v>2.5</v>
      </c>
      <c r="L13">
        <v>11</v>
      </c>
      <c r="M13">
        <v>23</v>
      </c>
      <c r="N13">
        <f t="shared" si="3"/>
        <v>1.4181458842514463</v>
      </c>
      <c r="O13" t="str">
        <f t="shared" si="4"/>
        <v xml:space="preserve">          2.5</v>
      </c>
    </row>
    <row r="14" spans="1:15">
      <c r="A14">
        <v>0.88869907999999997</v>
      </c>
      <c r="B14">
        <v>15.27913579</v>
      </c>
      <c r="C14">
        <f t="shared" si="0"/>
        <v>14.390436709999999</v>
      </c>
      <c r="D14">
        <f t="shared" si="1"/>
        <v>16.192699006732404</v>
      </c>
      <c r="G14">
        <v>-0.11799659345822765</v>
      </c>
      <c r="H14">
        <v>2.7264882238928232</v>
      </c>
      <c r="I14">
        <f t="shared" si="2"/>
        <v>2.8444848173510509</v>
      </c>
      <c r="K14">
        <v>3</v>
      </c>
      <c r="L14">
        <v>7</v>
      </c>
      <c r="M14">
        <v>25</v>
      </c>
      <c r="N14">
        <f t="shared" si="3"/>
        <v>1.4231672409398648</v>
      </c>
      <c r="O14" t="str">
        <f t="shared" si="4"/>
        <v xml:space="preserve">          3</v>
      </c>
    </row>
    <row r="15" spans="1:15">
      <c r="A15">
        <v>1.3039440360000001</v>
      </c>
      <c r="B15">
        <v>15.483814150000001</v>
      </c>
      <c r="C15">
        <f t="shared" si="0"/>
        <v>14.179870114</v>
      </c>
      <c r="D15">
        <f t="shared" si="1"/>
        <v>10.874600230158956</v>
      </c>
      <c r="G15">
        <v>0.26539354540557875</v>
      </c>
      <c r="H15">
        <v>2.7397952299308912</v>
      </c>
      <c r="I15">
        <f t="shared" si="2"/>
        <v>2.4744016845253123</v>
      </c>
      <c r="K15">
        <v>3.5</v>
      </c>
      <c r="L15">
        <v>4</v>
      </c>
      <c r="M15">
        <v>18</v>
      </c>
      <c r="N15">
        <f t="shared" si="3"/>
        <v>0.33425195082866488</v>
      </c>
      <c r="O15" t="str">
        <f t="shared" si="4"/>
        <v xml:space="preserve">          3.5</v>
      </c>
    </row>
    <row r="16" spans="1:15">
      <c r="A16">
        <v>0.67451679200000003</v>
      </c>
      <c r="B16">
        <v>56.07033534</v>
      </c>
      <c r="C16">
        <f t="shared" si="0"/>
        <v>55.395818548000001</v>
      </c>
      <c r="D16">
        <f t="shared" si="1"/>
        <v>82.126670833125829</v>
      </c>
      <c r="G16">
        <v>-0.39375870816608177</v>
      </c>
      <c r="H16">
        <v>4.0266068908560593</v>
      </c>
      <c r="I16">
        <f t="shared" si="2"/>
        <v>4.4203655990221407</v>
      </c>
      <c r="K16">
        <v>4</v>
      </c>
      <c r="L16">
        <v>1</v>
      </c>
      <c r="M16">
        <v>14</v>
      </c>
      <c r="N16">
        <f t="shared" si="3"/>
        <v>1.0492342361901752</v>
      </c>
      <c r="O16" t="str">
        <f t="shared" si="4"/>
        <v xml:space="preserve">          4</v>
      </c>
    </row>
    <row r="17" spans="1:15">
      <c r="A17">
        <v>1.031344196</v>
      </c>
      <c r="B17">
        <v>9.3916066610000009</v>
      </c>
      <c r="C17">
        <f t="shared" si="0"/>
        <v>8.3602624650000017</v>
      </c>
      <c r="D17">
        <f t="shared" si="1"/>
        <v>8.1061807468590263</v>
      </c>
      <c r="G17">
        <v>3.086299607112359E-2</v>
      </c>
      <c r="H17">
        <v>2.2398163819915338</v>
      </c>
      <c r="I17">
        <f t="shared" si="2"/>
        <v>2.20895338592041</v>
      </c>
      <c r="K17">
        <v>4.5</v>
      </c>
      <c r="L17">
        <v>0</v>
      </c>
      <c r="M17">
        <v>4</v>
      </c>
      <c r="O17" t="str">
        <f t="shared" si="4"/>
        <v xml:space="preserve">          4.5</v>
      </c>
    </row>
    <row r="18" spans="1:15">
      <c r="A18">
        <v>2.5533767570000001</v>
      </c>
      <c r="B18">
        <v>12.429830129999999</v>
      </c>
      <c r="C18">
        <f t="shared" si="0"/>
        <v>9.8764533729999986</v>
      </c>
      <c r="D18">
        <f t="shared" si="1"/>
        <v>3.8679968970203946</v>
      </c>
      <c r="G18">
        <v>0.93741670159774215</v>
      </c>
      <c r="H18">
        <v>2.5200992392989074</v>
      </c>
      <c r="I18">
        <f t="shared" si="2"/>
        <v>1.5826825377011653</v>
      </c>
      <c r="K18">
        <v>5</v>
      </c>
      <c r="L18">
        <v>0</v>
      </c>
      <c r="M18">
        <v>8</v>
      </c>
      <c r="O18" t="str">
        <f t="shared" si="4"/>
        <v xml:space="preserve">          5</v>
      </c>
    </row>
    <row r="19" spans="1:15">
      <c r="A19">
        <v>10.42603284</v>
      </c>
      <c r="B19">
        <v>15.024519850000001</v>
      </c>
      <c r="C19">
        <f t="shared" si="0"/>
        <v>4.5984870100000013</v>
      </c>
      <c r="D19">
        <f t="shared" si="1"/>
        <v>0.44105817433815042</v>
      </c>
      <c r="G19">
        <v>2.3443058361587168</v>
      </c>
      <c r="H19">
        <v>2.7096835231718752</v>
      </c>
      <c r="I19">
        <f t="shared" si="2"/>
        <v>0.36537768701315843</v>
      </c>
      <c r="K19">
        <v>5.5</v>
      </c>
      <c r="L19">
        <v>0</v>
      </c>
      <c r="M19">
        <v>2</v>
      </c>
      <c r="O19" t="str">
        <f t="shared" si="4"/>
        <v xml:space="preserve">          5.5</v>
      </c>
    </row>
    <row r="20" spans="1:15">
      <c r="A20">
        <v>1.8788655590000001</v>
      </c>
      <c r="B20">
        <v>24.780406580000001</v>
      </c>
      <c r="C20">
        <f t="shared" si="0"/>
        <v>22.901541021</v>
      </c>
      <c r="D20">
        <f t="shared" si="1"/>
        <v>12.189025931791003</v>
      </c>
      <c r="G20">
        <v>0.63066816864324726</v>
      </c>
      <c r="H20">
        <v>3.2100532836531568</v>
      </c>
      <c r="I20">
        <f t="shared" si="2"/>
        <v>2.5793851150099094</v>
      </c>
    </row>
    <row r="21" spans="1:15">
      <c r="A21">
        <v>8.0873899859999998</v>
      </c>
      <c r="B21">
        <v>40.170643650000002</v>
      </c>
      <c r="C21">
        <f t="shared" si="0"/>
        <v>32.083253664000004</v>
      </c>
      <c r="D21">
        <f t="shared" si="1"/>
        <v>3.9670714185341631</v>
      </c>
      <c r="G21">
        <v>2.0903060567669551</v>
      </c>
      <c r="H21">
        <v>3.693136471394427</v>
      </c>
      <c r="I21">
        <f t="shared" si="2"/>
        <v>1.6028304146274719</v>
      </c>
    </row>
    <row r="22" spans="1:15">
      <c r="A22">
        <v>0.78200761299999999</v>
      </c>
      <c r="B22">
        <v>17.669845890000001</v>
      </c>
      <c r="C22">
        <f t="shared" si="0"/>
        <v>16.887838277</v>
      </c>
      <c r="D22">
        <f t="shared" si="1"/>
        <v>21.595490883028017</v>
      </c>
      <c r="G22">
        <v>-0.24589080319009601</v>
      </c>
      <c r="H22">
        <v>2.8718595647316025</v>
      </c>
      <c r="I22">
        <f t="shared" si="2"/>
        <v>3.1177503679216985</v>
      </c>
    </row>
    <row r="23" spans="1:15">
      <c r="A23">
        <v>1.657906839</v>
      </c>
      <c r="B23">
        <v>19.33608941</v>
      </c>
      <c r="C23">
        <f t="shared" si="0"/>
        <v>17.678182571000001</v>
      </c>
      <c r="D23">
        <f t="shared" si="1"/>
        <v>10.662952920601349</v>
      </c>
      <c r="G23">
        <v>0.50555586635278982</v>
      </c>
      <c r="H23">
        <v>2.9619732674078683</v>
      </c>
      <c r="I23">
        <f t="shared" si="2"/>
        <v>2.4564174010550786</v>
      </c>
    </row>
    <row r="24" spans="1:15">
      <c r="A24">
        <v>2.21163636</v>
      </c>
      <c r="B24">
        <v>10.25251145</v>
      </c>
      <c r="C24">
        <f t="shared" si="0"/>
        <v>8.0408750900000001</v>
      </c>
      <c r="D24">
        <f t="shared" si="1"/>
        <v>3.6357130111570424</v>
      </c>
      <c r="G24">
        <v>0.79373267593249697</v>
      </c>
      <c r="H24">
        <v>2.3275226950842338</v>
      </c>
      <c r="I24">
        <f t="shared" si="2"/>
        <v>1.5337900191517368</v>
      </c>
    </row>
    <row r="25" spans="1:15">
      <c r="A25">
        <v>1.2056724539999999</v>
      </c>
      <c r="B25">
        <v>14.562459479999999</v>
      </c>
      <c r="C25">
        <f t="shared" si="0"/>
        <v>13.356787025999999</v>
      </c>
      <c r="D25">
        <f t="shared" si="1"/>
        <v>11.078288287740877</v>
      </c>
      <c r="G25">
        <v>0.18703746440091951</v>
      </c>
      <c r="H25">
        <v>2.6784469488327778</v>
      </c>
      <c r="I25">
        <f t="shared" si="2"/>
        <v>2.4914094844318582</v>
      </c>
    </row>
    <row r="26" spans="1:15">
      <c r="A26">
        <v>1.7494747289999999</v>
      </c>
      <c r="B26">
        <v>20.49573182</v>
      </c>
      <c r="C26">
        <f t="shared" si="0"/>
        <v>18.746257091</v>
      </c>
      <c r="D26">
        <f t="shared" si="1"/>
        <v>10.715363177446619</v>
      </c>
      <c r="G26">
        <v>0.55931558802279469</v>
      </c>
      <c r="H26">
        <v>3.0202166605644822</v>
      </c>
      <c r="I26">
        <f t="shared" si="2"/>
        <v>2.4609010725416876</v>
      </c>
    </row>
    <row r="27" spans="1:15">
      <c r="A27">
        <v>4.6910669230000002</v>
      </c>
      <c r="B27">
        <v>6.7635106360000004</v>
      </c>
      <c r="C27">
        <f t="shared" si="0"/>
        <v>2.0724437130000002</v>
      </c>
      <c r="D27">
        <f t="shared" si="1"/>
        <v>0.44178515186789208</v>
      </c>
      <c r="G27">
        <v>1.545660045499089</v>
      </c>
      <c r="H27">
        <v>1.9115420801044616</v>
      </c>
      <c r="I27">
        <f t="shared" si="2"/>
        <v>0.36588203460537261</v>
      </c>
    </row>
    <row r="28" spans="1:15">
      <c r="A28">
        <v>17.498248579999998</v>
      </c>
      <c r="B28">
        <v>35.035717740000003</v>
      </c>
      <c r="C28">
        <f t="shared" si="0"/>
        <v>17.537469160000004</v>
      </c>
      <c r="D28">
        <f t="shared" si="1"/>
        <v>1.0022414003219062</v>
      </c>
      <c r="G28">
        <v>2.8621007947781596</v>
      </c>
      <c r="H28">
        <v>3.5563680479834265</v>
      </c>
      <c r="I28">
        <f t="shared" si="2"/>
        <v>0.69426725320526694</v>
      </c>
    </row>
    <row r="29" spans="1:15">
      <c r="A29">
        <v>18.970607189999999</v>
      </c>
      <c r="B29">
        <v>186.87583269999999</v>
      </c>
      <c r="C29">
        <f t="shared" si="0"/>
        <v>167.90522550999998</v>
      </c>
      <c r="D29">
        <f t="shared" si="1"/>
        <v>8.8508092454999581</v>
      </c>
      <c r="G29">
        <v>2.9428907913419025</v>
      </c>
      <c r="H29">
        <v>5.2304444000547559</v>
      </c>
      <c r="I29">
        <f t="shared" si="2"/>
        <v>2.2875536087128534</v>
      </c>
    </row>
    <row r="30" spans="1:15">
      <c r="A30">
        <v>6.7391533709999996</v>
      </c>
      <c r="B30">
        <v>27.978315469999998</v>
      </c>
      <c r="C30">
        <f t="shared" si="0"/>
        <v>21.239162098999998</v>
      </c>
      <c r="D30">
        <f t="shared" si="1"/>
        <v>3.1516068754862587</v>
      </c>
      <c r="G30">
        <v>1.9079343044230148</v>
      </c>
      <c r="H30">
        <v>3.3314297626358189</v>
      </c>
      <c r="I30">
        <f t="shared" si="2"/>
        <v>1.4234954582128041</v>
      </c>
    </row>
    <row r="31" spans="1:15">
      <c r="A31">
        <v>11.560508110000001</v>
      </c>
      <c r="B31">
        <v>106.3233786</v>
      </c>
      <c r="C31">
        <f t="shared" si="0"/>
        <v>94.762870489999997</v>
      </c>
      <c r="D31">
        <f t="shared" si="1"/>
        <v>8.1971198487399342</v>
      </c>
      <c r="G31">
        <v>2.447594816430525</v>
      </c>
      <c r="H31">
        <v>4.6664851915524608</v>
      </c>
      <c r="I31">
        <f t="shared" si="2"/>
        <v>2.2188903751219358</v>
      </c>
    </row>
    <row r="32" spans="1:15">
      <c r="A32">
        <v>0.830660591</v>
      </c>
      <c r="B32">
        <v>9.7150933229999996</v>
      </c>
      <c r="C32">
        <f t="shared" si="0"/>
        <v>8.8844327320000005</v>
      </c>
      <c r="D32">
        <f t="shared" si="1"/>
        <v>10.695623252457874</v>
      </c>
      <c r="G32">
        <v>-0.18553400197510936</v>
      </c>
      <c r="H32">
        <v>2.2736806888563481</v>
      </c>
      <c r="I32">
        <f t="shared" si="2"/>
        <v>2.4592146908314576</v>
      </c>
    </row>
    <row r="33" spans="1:9">
      <c r="A33">
        <v>1.982333506</v>
      </c>
      <c r="B33">
        <v>17.325865010000001</v>
      </c>
      <c r="C33">
        <f t="shared" si="0"/>
        <v>15.343531504000001</v>
      </c>
      <c r="D33">
        <f t="shared" si="1"/>
        <v>7.7401362876424091</v>
      </c>
      <c r="G33">
        <v>0.68427468915908407</v>
      </c>
      <c r="H33">
        <v>2.8522004722567131</v>
      </c>
      <c r="I33">
        <f t="shared" si="2"/>
        <v>2.1679257830976288</v>
      </c>
    </row>
    <row r="34" spans="1:9">
      <c r="A34">
        <v>1.6634051809999999</v>
      </c>
      <c r="B34">
        <v>5.8757279220000003</v>
      </c>
      <c r="C34">
        <f t="shared" si="0"/>
        <v>4.2123227410000004</v>
      </c>
      <c r="D34">
        <f t="shared" si="1"/>
        <v>2.5323491769261244</v>
      </c>
      <c r="G34">
        <v>0.50886681515242083</v>
      </c>
      <c r="H34">
        <v>1.7708299539720727</v>
      </c>
      <c r="I34">
        <f t="shared" si="2"/>
        <v>1.2619631388196519</v>
      </c>
    </row>
    <row r="35" spans="1:9">
      <c r="A35">
        <v>1.0172188200000001</v>
      </c>
      <c r="B35">
        <v>3.8080858210000001</v>
      </c>
      <c r="C35">
        <f t="shared" si="0"/>
        <v>2.7908670010000001</v>
      </c>
      <c r="D35">
        <f t="shared" si="1"/>
        <v>2.743625015707043</v>
      </c>
      <c r="G35">
        <v>1.7072256164235477E-2</v>
      </c>
      <c r="H35">
        <v>1.3371266537024749</v>
      </c>
      <c r="I35">
        <f t="shared" si="2"/>
        <v>1.3200543975382393</v>
      </c>
    </row>
    <row r="36" spans="1:9">
      <c r="A36">
        <v>0.92126009399999997</v>
      </c>
      <c r="B36">
        <v>3.701959741</v>
      </c>
      <c r="C36">
        <f t="shared" si="0"/>
        <v>2.7806996470000001</v>
      </c>
      <c r="D36">
        <f t="shared" si="1"/>
        <v>3.0183654595593503</v>
      </c>
      <c r="G36">
        <v>-8.2012878686513468E-2</v>
      </c>
      <c r="H36">
        <v>1.3088623391597043</v>
      </c>
      <c r="I36">
        <f t="shared" si="2"/>
        <v>1.3908752178462178</v>
      </c>
    </row>
    <row r="37" spans="1:9">
      <c r="A37">
        <v>0.94212887000000001</v>
      </c>
      <c r="B37">
        <v>3.0297135050000001</v>
      </c>
      <c r="C37">
        <f t="shared" si="0"/>
        <v>2.0875846350000002</v>
      </c>
      <c r="D37">
        <f t="shared" si="1"/>
        <v>2.2158164360253605</v>
      </c>
      <c r="G37">
        <v>-5.9613209091766657E-2</v>
      </c>
      <c r="H37">
        <v>1.1084680622455989</v>
      </c>
      <c r="I37">
        <f t="shared" si="2"/>
        <v>1.1680812713373656</v>
      </c>
    </row>
    <row r="38" spans="1:9">
      <c r="A38">
        <v>2.305873917</v>
      </c>
      <c r="B38">
        <v>12.12944755</v>
      </c>
      <c r="C38">
        <f t="shared" si="0"/>
        <v>9.8235736330000005</v>
      </c>
      <c r="D38">
        <f t="shared" si="1"/>
        <v>4.2602388450539035</v>
      </c>
      <c r="G38">
        <v>0.8354597442896311</v>
      </c>
      <c r="H38">
        <v>2.495636177813271</v>
      </c>
      <c r="I38">
        <f t="shared" si="2"/>
        <v>1.66017643352364</v>
      </c>
    </row>
    <row r="39" spans="1:9">
      <c r="A39">
        <v>0.81636553700000003</v>
      </c>
      <c r="B39">
        <v>4.1933788710000002</v>
      </c>
      <c r="C39">
        <f t="shared" si="0"/>
        <v>3.3770133339999999</v>
      </c>
      <c r="D39">
        <f t="shared" si="1"/>
        <v>4.1366436736292558</v>
      </c>
      <c r="G39">
        <v>-0.20289306231325308</v>
      </c>
      <c r="H39">
        <v>1.4335068220841711</v>
      </c>
      <c r="I39">
        <f t="shared" si="2"/>
        <v>1.6363998843974241</v>
      </c>
    </row>
    <row r="40" spans="1:9">
      <c r="A40">
        <v>1.0844195919999999</v>
      </c>
      <c r="B40">
        <v>6.9970746129999997</v>
      </c>
      <c r="C40">
        <f t="shared" si="0"/>
        <v>5.912655021</v>
      </c>
      <c r="D40">
        <f t="shared" si="1"/>
        <v>5.4523683126152891</v>
      </c>
      <c r="G40">
        <v>8.1044905613063573E-2</v>
      </c>
      <c r="H40">
        <v>1.9454921492770056</v>
      </c>
      <c r="I40">
        <f t="shared" si="2"/>
        <v>1.8644472436639421</v>
      </c>
    </row>
    <row r="41" spans="1:9">
      <c r="A41">
        <v>3.3109645040000002</v>
      </c>
      <c r="B41">
        <v>8.3109820800000005</v>
      </c>
      <c r="C41">
        <f t="shared" si="0"/>
        <v>5.0000175760000003</v>
      </c>
      <c r="D41">
        <f t="shared" si="1"/>
        <v>1.5101392871954511</v>
      </c>
      <c r="G41">
        <v>1.1972395378794338</v>
      </c>
      <c r="H41">
        <v>2.1175777823900064</v>
      </c>
      <c r="I41">
        <f t="shared" si="2"/>
        <v>0.92033824451057256</v>
      </c>
    </row>
    <row r="42" spans="1:9">
      <c r="A42">
        <v>3.3829036819999998</v>
      </c>
      <c r="B42">
        <v>24.285970540000001</v>
      </c>
      <c r="C42">
        <f t="shared" si="0"/>
        <v>20.903066858000003</v>
      </c>
      <c r="D42">
        <f t="shared" si="1"/>
        <v>6.1790310404705169</v>
      </c>
      <c r="G42">
        <v>1.2187344182138331</v>
      </c>
      <c r="H42">
        <v>3.189898839586339</v>
      </c>
      <c r="I42">
        <f t="shared" si="2"/>
        <v>1.9711644213725059</v>
      </c>
    </row>
    <row r="43" spans="1:9">
      <c r="A43">
        <v>0.15766860199999999</v>
      </c>
      <c r="B43">
        <v>0.56959482500000003</v>
      </c>
      <c r="C43">
        <f t="shared" si="0"/>
        <v>0.41192622300000004</v>
      </c>
      <c r="D43">
        <f t="shared" si="1"/>
        <v>2.6126078228308263</v>
      </c>
      <c r="G43">
        <v>-1.8472599043922115</v>
      </c>
      <c r="H43">
        <v>-0.56283000424867646</v>
      </c>
      <c r="I43">
        <f t="shared" si="2"/>
        <v>1.2844299001435351</v>
      </c>
    </row>
    <row r="44" spans="1:9">
      <c r="A44">
        <v>0.32760293000000001</v>
      </c>
      <c r="B44">
        <v>2.628934831</v>
      </c>
      <c r="C44">
        <f t="shared" si="0"/>
        <v>2.3013319010000002</v>
      </c>
      <c r="D44">
        <f t="shared" si="1"/>
        <v>7.0247598243397888</v>
      </c>
      <c r="G44">
        <v>-1.1159529832092747</v>
      </c>
      <c r="H44">
        <v>0.96657875692776141</v>
      </c>
      <c r="I44">
        <f t="shared" si="2"/>
        <v>2.082531740137036</v>
      </c>
    </row>
    <row r="45" spans="1:9">
      <c r="A45">
        <v>1.333412128</v>
      </c>
      <c r="B45">
        <v>14.00128525</v>
      </c>
      <c r="C45">
        <f t="shared" si="0"/>
        <v>12.667873122</v>
      </c>
      <c r="D45">
        <f t="shared" si="1"/>
        <v>9.5003434092058896</v>
      </c>
      <c r="G45">
        <v>0.28774116670568112</v>
      </c>
      <c r="H45">
        <v>2.6391491289729974</v>
      </c>
      <c r="I45">
        <f t="shared" si="2"/>
        <v>2.3514079622673161</v>
      </c>
    </row>
    <row r="46" spans="1:9">
      <c r="A46">
        <v>0.19072831500000001</v>
      </c>
      <c r="B46">
        <v>1.9705367970000001</v>
      </c>
      <c r="C46">
        <f t="shared" si="0"/>
        <v>1.779808482</v>
      </c>
      <c r="D46">
        <f t="shared" si="1"/>
        <v>9.3316426666905752</v>
      </c>
      <c r="G46">
        <v>-1.6569052981108841</v>
      </c>
      <c r="H46">
        <v>0.67830599141918968</v>
      </c>
      <c r="I46">
        <f t="shared" si="2"/>
        <v>2.3352112895300738</v>
      </c>
    </row>
    <row r="47" spans="1:9">
      <c r="A47">
        <v>0.54759787999999998</v>
      </c>
      <c r="B47">
        <v>3.186245719</v>
      </c>
      <c r="C47">
        <f t="shared" si="0"/>
        <v>2.6386478389999999</v>
      </c>
      <c r="D47">
        <f t="shared" si="1"/>
        <v>4.8185866588818786</v>
      </c>
      <c r="G47">
        <v>-0.60221405701434383</v>
      </c>
      <c r="H47">
        <v>1.1588433331215657</v>
      </c>
      <c r="I47">
        <f t="shared" si="2"/>
        <v>1.7610573901359095</v>
      </c>
    </row>
    <row r="48" spans="1:9">
      <c r="A48">
        <v>0.20955678999999999</v>
      </c>
      <c r="B48">
        <v>2.752118786</v>
      </c>
      <c r="C48">
        <f t="shared" si="0"/>
        <v>2.5425619959999999</v>
      </c>
      <c r="D48">
        <f t="shared" si="1"/>
        <v>12.13304515687609</v>
      </c>
      <c r="G48">
        <v>-1.562760502368179</v>
      </c>
      <c r="H48">
        <v>1.0123710826570214</v>
      </c>
      <c r="I48">
        <f t="shared" si="2"/>
        <v>2.5751315850252006</v>
      </c>
    </row>
    <row r="49" spans="1:9">
      <c r="A49">
        <v>0.79458399800000001</v>
      </c>
      <c r="B49">
        <v>6.4445451350000003</v>
      </c>
      <c r="C49">
        <f t="shared" si="0"/>
        <v>5.649961137</v>
      </c>
      <c r="D49">
        <f t="shared" si="1"/>
        <v>7.110590134235248</v>
      </c>
      <c r="G49">
        <v>-0.22993657423885189</v>
      </c>
      <c r="H49">
        <v>1.8632340574846922</v>
      </c>
      <c r="I49">
        <f t="shared" si="2"/>
        <v>2.0931706317235439</v>
      </c>
    </row>
    <row r="50" spans="1:9">
      <c r="A50">
        <v>0.29956396099999999</v>
      </c>
      <c r="B50">
        <v>3.0167309169999998</v>
      </c>
      <c r="C50">
        <f t="shared" si="0"/>
        <v>2.7171669559999998</v>
      </c>
      <c r="D50">
        <f t="shared" si="1"/>
        <v>9.0704066902093068</v>
      </c>
      <c r="G50">
        <v>-1.2054273249617244</v>
      </c>
      <c r="H50">
        <v>1.1041737672699548</v>
      </c>
      <c r="I50">
        <f t="shared" si="2"/>
        <v>2.309601092231679</v>
      </c>
    </row>
    <row r="51" spans="1:9">
      <c r="A51">
        <v>0.17393256700000001</v>
      </c>
      <c r="B51">
        <v>1.7502477160000001</v>
      </c>
      <c r="C51">
        <f t="shared" si="0"/>
        <v>1.576315149</v>
      </c>
      <c r="D51">
        <f t="shared" si="1"/>
        <v>9.0627947151495789</v>
      </c>
      <c r="G51">
        <v>-1.7490876008599694</v>
      </c>
      <c r="H51">
        <v>0.55975732991788374</v>
      </c>
      <c r="I51">
        <f t="shared" si="2"/>
        <v>2.3088449307778531</v>
      </c>
    </row>
    <row r="52" spans="1:9">
      <c r="A52">
        <v>1.626186854</v>
      </c>
      <c r="B52">
        <v>6.4095785159999998</v>
      </c>
      <c r="C52">
        <f t="shared" si="0"/>
        <v>4.7833916619999997</v>
      </c>
      <c r="D52">
        <f t="shared" si="1"/>
        <v>2.9414772664248825</v>
      </c>
      <c r="G52">
        <v>0.48623792088240342</v>
      </c>
      <c r="H52">
        <v>1.8577935146365154</v>
      </c>
      <c r="I52">
        <f t="shared" si="2"/>
        <v>1.371555593754112</v>
      </c>
    </row>
    <row r="53" spans="1:9">
      <c r="A53">
        <v>0.497312592</v>
      </c>
      <c r="B53">
        <v>2.9902389130000002</v>
      </c>
      <c r="C53">
        <f t="shared" si="0"/>
        <v>2.4929263210000001</v>
      </c>
      <c r="D53">
        <f t="shared" si="1"/>
        <v>5.0127954954335845</v>
      </c>
      <c r="G53">
        <v>-0.69853649285005592</v>
      </c>
      <c r="H53">
        <v>1.0953532882238175</v>
      </c>
      <c r="I53">
        <f t="shared" si="2"/>
        <v>1.7938897810738734</v>
      </c>
    </row>
    <row r="54" spans="1:9">
      <c r="A54">
        <v>0.59929680200000002</v>
      </c>
      <c r="B54">
        <v>2.6630204229999999</v>
      </c>
      <c r="C54">
        <f t="shared" si="0"/>
        <v>2.0637236209999998</v>
      </c>
      <c r="D54">
        <f t="shared" si="1"/>
        <v>3.4435752270208173</v>
      </c>
      <c r="G54">
        <v>-0.51199830775783173</v>
      </c>
      <c r="H54">
        <v>0.97946097597249604</v>
      </c>
      <c r="I54">
        <f t="shared" si="2"/>
        <v>1.4914592837303278</v>
      </c>
    </row>
    <row r="55" spans="1:9">
      <c r="A55">
        <v>1.2981645559999999</v>
      </c>
      <c r="B55">
        <v>13.06937724</v>
      </c>
      <c r="C55">
        <f t="shared" si="0"/>
        <v>11.771212684</v>
      </c>
      <c r="D55">
        <f t="shared" si="1"/>
        <v>9.06758132441262</v>
      </c>
      <c r="G55">
        <v>0.26095138682577962</v>
      </c>
      <c r="H55">
        <v>2.5702718784519591</v>
      </c>
      <c r="I55">
        <f t="shared" si="2"/>
        <v>2.3093204916261794</v>
      </c>
    </row>
    <row r="56" spans="1:9">
      <c r="A56">
        <v>1.3135681850000001</v>
      </c>
      <c r="B56">
        <v>8.1786381549999998</v>
      </c>
      <c r="C56">
        <f t="shared" si="0"/>
        <v>6.8650699699999995</v>
      </c>
      <c r="D56">
        <f t="shared" si="1"/>
        <v>5.2262760687980574</v>
      </c>
      <c r="G56">
        <v>0.27274723972114162</v>
      </c>
      <c r="H56">
        <v>2.10152565203571</v>
      </c>
      <c r="I56">
        <f t="shared" si="2"/>
        <v>1.8287784123145683</v>
      </c>
    </row>
    <row r="57" spans="1:9">
      <c r="A57">
        <v>0.18211106499999999</v>
      </c>
      <c r="B57">
        <v>2.429610351</v>
      </c>
      <c r="C57">
        <f t="shared" si="0"/>
        <v>2.247499286</v>
      </c>
      <c r="D57">
        <f t="shared" si="1"/>
        <v>12.341365891193927</v>
      </c>
      <c r="G57">
        <v>-1.7031385307777316</v>
      </c>
      <c r="H57">
        <v>0.88773089511240433</v>
      </c>
      <c r="I57">
        <f t="shared" si="2"/>
        <v>2.5908694258901361</v>
      </c>
    </row>
    <row r="58" spans="1:9">
      <c r="A58">
        <v>0.16154519000000001</v>
      </c>
      <c r="B58">
        <v>2.6723714279999999</v>
      </c>
      <c r="C58">
        <f t="shared" si="0"/>
        <v>2.5108262379999999</v>
      </c>
      <c r="D58">
        <f t="shared" si="1"/>
        <v>15.542562660021012</v>
      </c>
      <c r="G58">
        <v>-1.8229703612186434</v>
      </c>
      <c r="H58">
        <v>0.98296625349878397</v>
      </c>
      <c r="I58">
        <f t="shared" si="2"/>
        <v>2.8059366147174272</v>
      </c>
    </row>
    <row r="59" spans="1:9">
      <c r="A59">
        <v>1.313136045</v>
      </c>
      <c r="B59">
        <v>9.817440758</v>
      </c>
      <c r="C59">
        <f t="shared" si="0"/>
        <v>8.5043047129999998</v>
      </c>
      <c r="D59">
        <f t="shared" si="1"/>
        <v>6.4763317901307014</v>
      </c>
      <c r="G59">
        <v>0.27241820381449994</v>
      </c>
      <c r="H59">
        <v>2.2841604731253633</v>
      </c>
      <c r="I59">
        <f t="shared" si="2"/>
        <v>2.0117422693108633</v>
      </c>
    </row>
    <row r="60" spans="1:9">
      <c r="A60">
        <v>0.68152214099999997</v>
      </c>
      <c r="B60">
        <v>4.0525268490000004</v>
      </c>
      <c r="C60">
        <f t="shared" si="0"/>
        <v>3.3710047080000005</v>
      </c>
      <c r="D60">
        <f t="shared" si="1"/>
        <v>4.9462878829640262</v>
      </c>
      <c r="G60">
        <v>-0.38342653974526741</v>
      </c>
      <c r="H60">
        <v>1.399340599898776</v>
      </c>
      <c r="I60">
        <f t="shared" si="2"/>
        <v>1.7827671396440434</v>
      </c>
    </row>
    <row r="61" spans="1:9">
      <c r="A61">
        <v>0.61995806099999995</v>
      </c>
      <c r="B61">
        <v>1.8589018470000001</v>
      </c>
      <c r="C61">
        <f t="shared" si="0"/>
        <v>1.2389437860000001</v>
      </c>
      <c r="D61">
        <f t="shared" si="1"/>
        <v>1.9984316100375703</v>
      </c>
      <c r="G61">
        <v>-0.47810344677931499</v>
      </c>
      <c r="H61">
        <v>0.6199859085288324</v>
      </c>
      <c r="I61">
        <f t="shared" si="2"/>
        <v>1.0980893553081474</v>
      </c>
    </row>
    <row r="62" spans="1:9">
      <c r="A62">
        <v>0.34262848400000001</v>
      </c>
      <c r="B62">
        <v>1.272878476</v>
      </c>
      <c r="C62">
        <f t="shared" si="0"/>
        <v>0.93024999200000003</v>
      </c>
      <c r="D62">
        <f t="shared" si="1"/>
        <v>2.7150398622433269</v>
      </c>
      <c r="G62">
        <v>-1.071108555859263</v>
      </c>
      <c r="H62">
        <v>0.24128085233185007</v>
      </c>
      <c r="I62">
        <f t="shared" si="2"/>
        <v>1.3123894081911132</v>
      </c>
    </row>
    <row r="63" spans="1:9">
      <c r="A63">
        <v>0.140296374</v>
      </c>
      <c r="B63">
        <v>1.4637155310000001</v>
      </c>
      <c r="C63">
        <f t="shared" si="0"/>
        <v>1.323419157</v>
      </c>
      <c r="D63">
        <f t="shared" si="1"/>
        <v>9.433024669618332</v>
      </c>
      <c r="G63">
        <v>-1.9639981368263739</v>
      </c>
      <c r="H63">
        <v>0.38097808723236798</v>
      </c>
      <c r="I63">
        <f t="shared" si="2"/>
        <v>2.3449762240587417</v>
      </c>
    </row>
    <row r="64" spans="1:9">
      <c r="A64">
        <v>0.299492537</v>
      </c>
      <c r="B64">
        <v>8.7818948639999999</v>
      </c>
      <c r="C64">
        <f t="shared" si="0"/>
        <v>8.4824023269999991</v>
      </c>
      <c r="D64">
        <f t="shared" si="1"/>
        <v>28.322583300297726</v>
      </c>
      <c r="G64">
        <v>-1.2056657799340915</v>
      </c>
      <c r="H64">
        <v>2.1726922003074445</v>
      </c>
      <c r="I64">
        <f t="shared" si="2"/>
        <v>3.3783579802415362</v>
      </c>
    </row>
    <row r="65" spans="1:9">
      <c r="A65">
        <v>0.14907426700000001</v>
      </c>
      <c r="B65">
        <v>2.2495939890000001</v>
      </c>
      <c r="C65">
        <f t="shared" si="0"/>
        <v>2.100519722</v>
      </c>
      <c r="D65">
        <f t="shared" si="1"/>
        <v>14.090424620367243</v>
      </c>
      <c r="G65">
        <v>-1.9033106609731492</v>
      </c>
      <c r="H65">
        <v>0.81074975060005561</v>
      </c>
      <c r="I65">
        <f t="shared" si="2"/>
        <v>2.7140604115732048</v>
      </c>
    </row>
    <row r="66" spans="1:9">
      <c r="A66">
        <v>0.65491462700000003</v>
      </c>
      <c r="B66">
        <v>6.4535339279999997</v>
      </c>
      <c r="C66">
        <f t="shared" si="0"/>
        <v>5.7986193009999996</v>
      </c>
      <c r="D66">
        <f t="shared" si="1"/>
        <v>8.854007930105368</v>
      </c>
      <c r="G66">
        <v>-0.42325039229995604</v>
      </c>
      <c r="H66">
        <v>1.8646278765815247</v>
      </c>
      <c r="I66">
        <f t="shared" si="2"/>
        <v>2.2878782688814807</v>
      </c>
    </row>
    <row r="67" spans="1:9">
      <c r="A67">
        <v>0.13449972199999999</v>
      </c>
      <c r="B67">
        <v>2.328021401</v>
      </c>
      <c r="C67">
        <f t="shared" ref="C67:C130" si="5">B67-A67</f>
        <v>2.1935216789999998</v>
      </c>
      <c r="D67">
        <f t="shared" ref="D67:D130" si="6">C67/A67</f>
        <v>16.308745076811384</v>
      </c>
      <c r="G67">
        <v>-2.0061931468568774</v>
      </c>
      <c r="H67">
        <v>0.84501872269635303</v>
      </c>
      <c r="I67">
        <f t="shared" ref="I67:I130" si="7">H67-G67</f>
        <v>2.8512118695532305</v>
      </c>
    </row>
    <row r="68" spans="1:9">
      <c r="A68">
        <v>0.514833192</v>
      </c>
      <c r="B68">
        <v>1.4311286430000001</v>
      </c>
      <c r="C68">
        <f t="shared" si="5"/>
        <v>0.91629545100000009</v>
      </c>
      <c r="D68">
        <f t="shared" si="6"/>
        <v>1.779790940518847</v>
      </c>
      <c r="G68">
        <v>-0.66391232981414727</v>
      </c>
      <c r="H68">
        <v>0.35846339380842918</v>
      </c>
      <c r="I68">
        <f t="shared" si="7"/>
        <v>1.0223757236225763</v>
      </c>
    </row>
    <row r="69" spans="1:9">
      <c r="A69">
        <v>0.42737770800000002</v>
      </c>
      <c r="B69">
        <v>0.79820255399999995</v>
      </c>
      <c r="C69">
        <f t="shared" si="5"/>
        <v>0.37082484599999993</v>
      </c>
      <c r="D69">
        <f t="shared" si="6"/>
        <v>0.86767475012992468</v>
      </c>
      <c r="G69">
        <v>-0.85008709468708665</v>
      </c>
      <c r="H69">
        <v>-0.22539288667329915</v>
      </c>
      <c r="I69">
        <f t="shared" si="7"/>
        <v>0.6246942080137875</v>
      </c>
    </row>
    <row r="70" spans="1:9">
      <c r="A70">
        <v>0.31751216900000001</v>
      </c>
      <c r="B70">
        <v>2.6081516979999999</v>
      </c>
      <c r="C70">
        <f t="shared" si="5"/>
        <v>2.2906395289999999</v>
      </c>
      <c r="D70">
        <f t="shared" si="6"/>
        <v>7.2143361818677247</v>
      </c>
      <c r="G70">
        <v>-1.1472391338248178</v>
      </c>
      <c r="H70">
        <v>0.9586418087838493</v>
      </c>
      <c r="I70">
        <f t="shared" si="7"/>
        <v>2.1058809426086671</v>
      </c>
    </row>
    <row r="71" spans="1:9">
      <c r="A71">
        <v>0.94640294599999997</v>
      </c>
      <c r="B71">
        <v>5.9252924919999996</v>
      </c>
      <c r="C71">
        <f t="shared" si="5"/>
        <v>4.9788895459999996</v>
      </c>
      <c r="D71">
        <f t="shared" si="6"/>
        <v>5.2608559251040194</v>
      </c>
      <c r="G71">
        <v>-5.5086853474115197E-2</v>
      </c>
      <c r="H71">
        <v>1.7792300515411434</v>
      </c>
      <c r="I71">
        <f t="shared" si="7"/>
        <v>1.8343169050152586</v>
      </c>
    </row>
    <row r="72" spans="1:9">
      <c r="A72">
        <v>0.37428263000000001</v>
      </c>
      <c r="B72">
        <v>2.1081732729999998</v>
      </c>
      <c r="C72">
        <f t="shared" si="5"/>
        <v>1.7338906429999998</v>
      </c>
      <c r="D72">
        <f t="shared" si="6"/>
        <v>4.6325704267921806</v>
      </c>
      <c r="G72">
        <v>-0.98274407177427581</v>
      </c>
      <c r="H72">
        <v>0.74582182511889705</v>
      </c>
      <c r="I72">
        <f t="shared" si="7"/>
        <v>1.7285658968931727</v>
      </c>
    </row>
    <row r="73" spans="1:9">
      <c r="A73">
        <v>0.27353328999999998</v>
      </c>
      <c r="B73">
        <v>4.7711673110000001</v>
      </c>
      <c r="C73">
        <f t="shared" si="5"/>
        <v>4.4976340210000005</v>
      </c>
      <c r="D73">
        <f t="shared" si="6"/>
        <v>16.442729954368627</v>
      </c>
      <c r="G73">
        <v>-1.2963319460628415</v>
      </c>
      <c r="H73">
        <v>1.5625909942485812</v>
      </c>
      <c r="I73">
        <f t="shared" si="7"/>
        <v>2.8589229403114227</v>
      </c>
    </row>
    <row r="74" spans="1:9">
      <c r="A74">
        <v>0.57766870400000003</v>
      </c>
      <c r="B74">
        <v>10.09453972</v>
      </c>
      <c r="C74">
        <f t="shared" si="5"/>
        <v>9.5168710159999996</v>
      </c>
      <c r="D74">
        <f t="shared" si="6"/>
        <v>16.47461763135432</v>
      </c>
      <c r="G74">
        <v>-0.54875475110877681</v>
      </c>
      <c r="H74">
        <v>2.3119946558763891</v>
      </c>
      <c r="I74">
        <f t="shared" si="7"/>
        <v>2.8607494069851658</v>
      </c>
    </row>
    <row r="75" spans="1:9">
      <c r="A75">
        <v>0.34063284399999999</v>
      </c>
      <c r="B75">
        <v>1.4970020939999999</v>
      </c>
      <c r="C75">
        <f t="shared" si="5"/>
        <v>1.15636925</v>
      </c>
      <c r="D75">
        <f t="shared" si="6"/>
        <v>3.3947673290130531</v>
      </c>
      <c r="G75">
        <v>-1.076950085572894</v>
      </c>
      <c r="H75">
        <v>0.40346450423410812</v>
      </c>
      <c r="I75">
        <f t="shared" si="7"/>
        <v>1.480414589807002</v>
      </c>
    </row>
    <row r="76" spans="1:9">
      <c r="A76">
        <v>0.27425170100000001</v>
      </c>
      <c r="B76">
        <v>0.56383404199999998</v>
      </c>
      <c r="C76">
        <f t="shared" si="5"/>
        <v>0.28958234099999997</v>
      </c>
      <c r="D76">
        <f t="shared" si="6"/>
        <v>1.0558998902982191</v>
      </c>
      <c r="G76">
        <v>-1.2937089774759316</v>
      </c>
      <c r="H76">
        <v>-0.57299532255767516</v>
      </c>
      <c r="I76">
        <f t="shared" si="7"/>
        <v>0.72071365491825645</v>
      </c>
    </row>
    <row r="77" spans="1:9">
      <c r="A77">
        <v>3.7105381670000002</v>
      </c>
      <c r="B77">
        <v>15.370027350000001</v>
      </c>
      <c r="C77">
        <f t="shared" si="5"/>
        <v>11.659489183000002</v>
      </c>
      <c r="D77">
        <f t="shared" si="6"/>
        <v>3.1422636443130276</v>
      </c>
      <c r="G77">
        <v>1.3111769245899443</v>
      </c>
      <c r="H77">
        <v>2.7324193369893899</v>
      </c>
      <c r="I77">
        <f t="shared" si="7"/>
        <v>1.4212424123994456</v>
      </c>
    </row>
    <row r="78" spans="1:9">
      <c r="A78">
        <v>11.06890379</v>
      </c>
      <c r="B78">
        <v>46.691468659999998</v>
      </c>
      <c r="C78">
        <f t="shared" si="5"/>
        <v>35.622564869999998</v>
      </c>
      <c r="D78">
        <f t="shared" si="6"/>
        <v>3.2182558946968673</v>
      </c>
      <c r="G78">
        <v>2.4041397165236313</v>
      </c>
      <c r="H78">
        <v>3.8435614640460654</v>
      </c>
      <c r="I78">
        <f t="shared" si="7"/>
        <v>1.439421747522434</v>
      </c>
    </row>
    <row r="79" spans="1:9">
      <c r="A79">
        <v>12.823355299999999</v>
      </c>
      <c r="B79">
        <v>47.809691260000001</v>
      </c>
      <c r="C79">
        <f t="shared" si="5"/>
        <v>34.986335960000005</v>
      </c>
      <c r="D79">
        <f t="shared" si="6"/>
        <v>2.7283292977150846</v>
      </c>
      <c r="G79">
        <v>2.5512681411177618</v>
      </c>
      <c r="H79">
        <v>3.8672283649723171</v>
      </c>
      <c r="I79">
        <f t="shared" si="7"/>
        <v>1.3159602238545554</v>
      </c>
    </row>
    <row r="80" spans="1:9">
      <c r="A80">
        <v>10.71010835</v>
      </c>
      <c r="B80">
        <v>25.590643379999999</v>
      </c>
      <c r="C80">
        <f t="shared" si="5"/>
        <v>14.880535029999999</v>
      </c>
      <c r="D80">
        <f t="shared" si="6"/>
        <v>1.3893916423357191</v>
      </c>
      <c r="G80">
        <v>2.371188001121836</v>
      </c>
      <c r="H80">
        <v>3.2422267917079326</v>
      </c>
      <c r="I80">
        <f t="shared" si="7"/>
        <v>0.87103879058609657</v>
      </c>
    </row>
    <row r="81" spans="1:9">
      <c r="A81">
        <v>0.41583130800000001</v>
      </c>
      <c r="B81">
        <v>5.1977323379999998</v>
      </c>
      <c r="C81">
        <f t="shared" si="5"/>
        <v>4.7819010300000002</v>
      </c>
      <c r="D81">
        <f t="shared" si="6"/>
        <v>11.499617604550354</v>
      </c>
      <c r="G81">
        <v>-0.87747561057751633</v>
      </c>
      <c r="H81">
        <v>1.6482224416268336</v>
      </c>
      <c r="I81">
        <f t="shared" si="7"/>
        <v>2.52569805220435</v>
      </c>
    </row>
    <row r="82" spans="1:9">
      <c r="A82">
        <v>1.2118669280000001</v>
      </c>
      <c r="B82">
        <v>7.5750831669999998</v>
      </c>
      <c r="C82">
        <f t="shared" si="5"/>
        <v>6.3632162389999998</v>
      </c>
      <c r="D82">
        <f t="shared" si="6"/>
        <v>5.2507549236462037</v>
      </c>
      <c r="G82">
        <v>0.19216208623963088</v>
      </c>
      <c r="H82">
        <v>2.0248643304770768</v>
      </c>
      <c r="I82">
        <f t="shared" si="7"/>
        <v>1.8327022442374459</v>
      </c>
    </row>
    <row r="83" spans="1:9">
      <c r="A83">
        <v>11.490001100000001</v>
      </c>
      <c r="B83">
        <v>44.824444739999997</v>
      </c>
      <c r="C83">
        <f t="shared" si="5"/>
        <v>33.334443639999996</v>
      </c>
      <c r="D83">
        <f t="shared" si="6"/>
        <v>2.9011697518462376</v>
      </c>
      <c r="G83">
        <v>2.4414771875960817</v>
      </c>
      <c r="H83">
        <v>3.8027536321305919</v>
      </c>
      <c r="I83">
        <f t="shared" si="7"/>
        <v>1.3612764445345102</v>
      </c>
    </row>
    <row r="84" spans="1:9">
      <c r="A84">
        <v>0.78148925599999997</v>
      </c>
      <c r="B84">
        <v>33.36277012</v>
      </c>
      <c r="C84">
        <f t="shared" si="5"/>
        <v>32.581280864</v>
      </c>
      <c r="D84">
        <f t="shared" si="6"/>
        <v>41.691271650700727</v>
      </c>
      <c r="G84">
        <v>-0.2465538771357747</v>
      </c>
      <c r="H84">
        <v>3.5074406112134149</v>
      </c>
      <c r="I84">
        <f t="shared" si="7"/>
        <v>3.7539944883491896</v>
      </c>
    </row>
    <row r="85" spans="1:9">
      <c r="A85">
        <v>23.873981000000001</v>
      </c>
      <c r="B85">
        <v>113.4496683</v>
      </c>
      <c r="C85">
        <f t="shared" si="5"/>
        <v>89.575687299999998</v>
      </c>
      <c r="D85">
        <f t="shared" si="6"/>
        <v>3.7520213867976184</v>
      </c>
      <c r="G85">
        <v>3.1727892048276778</v>
      </c>
      <c r="H85">
        <v>4.7313592874666188</v>
      </c>
      <c r="I85">
        <f t="shared" si="7"/>
        <v>1.558570082638941</v>
      </c>
    </row>
    <row r="86" spans="1:9">
      <c r="A86">
        <v>1.3817860879999999</v>
      </c>
      <c r="B86">
        <v>6.8188293079999998</v>
      </c>
      <c r="C86">
        <f t="shared" si="5"/>
        <v>5.4370432199999996</v>
      </c>
      <c r="D86">
        <f t="shared" si="6"/>
        <v>3.9347937189536966</v>
      </c>
      <c r="G86">
        <v>0.32337692899466358</v>
      </c>
      <c r="H86">
        <v>1.9196878014023666</v>
      </c>
      <c r="I86">
        <f t="shared" si="7"/>
        <v>1.5963108724077031</v>
      </c>
    </row>
    <row r="87" spans="1:9">
      <c r="A87">
        <v>4.2519299779999997</v>
      </c>
      <c r="B87">
        <v>8.2387339389999994</v>
      </c>
      <c r="C87">
        <f t="shared" si="5"/>
        <v>3.9868039609999997</v>
      </c>
      <c r="D87">
        <f t="shared" si="6"/>
        <v>0.93764572361920484</v>
      </c>
      <c r="G87">
        <v>1.4473729923290504</v>
      </c>
      <c r="H87">
        <v>2.1088466839366777</v>
      </c>
      <c r="I87">
        <f t="shared" si="7"/>
        <v>0.66147369160762737</v>
      </c>
    </row>
    <row r="88" spans="1:9">
      <c r="A88">
        <v>8.6089399590000006</v>
      </c>
      <c r="B88">
        <v>93.032351480000003</v>
      </c>
      <c r="C88">
        <f t="shared" si="5"/>
        <v>84.423411521000006</v>
      </c>
      <c r="D88">
        <f t="shared" si="6"/>
        <v>9.8064816252716067</v>
      </c>
      <c r="G88">
        <v>2.152801193438465</v>
      </c>
      <c r="H88">
        <v>4.5329472980384677</v>
      </c>
      <c r="I88">
        <f t="shared" si="7"/>
        <v>2.3801461046000028</v>
      </c>
    </row>
    <row r="89" spans="1:9">
      <c r="A89">
        <v>9.6795158919999995</v>
      </c>
      <c r="B89">
        <v>41.628415660000002</v>
      </c>
      <c r="C89">
        <f t="shared" si="5"/>
        <v>31.948899768000004</v>
      </c>
      <c r="D89">
        <f t="shared" si="6"/>
        <v>3.3006712447680751</v>
      </c>
      <c r="G89">
        <v>2.2700118888808611</v>
      </c>
      <c r="H89">
        <v>3.7287830028319409</v>
      </c>
      <c r="I89">
        <f t="shared" si="7"/>
        <v>1.4587711139510797</v>
      </c>
    </row>
    <row r="90" spans="1:9">
      <c r="A90">
        <v>1.8753356779999999</v>
      </c>
      <c r="B90">
        <v>15.68262447</v>
      </c>
      <c r="C90">
        <f t="shared" si="5"/>
        <v>13.807288792000001</v>
      </c>
      <c r="D90">
        <f t="shared" si="6"/>
        <v>7.3625692477227016</v>
      </c>
      <c r="G90">
        <v>0.62878767166539307</v>
      </c>
      <c r="H90">
        <v>2.7525533778295745</v>
      </c>
      <c r="I90">
        <f t="shared" si="7"/>
        <v>2.1237657061641815</v>
      </c>
    </row>
    <row r="91" spans="1:9">
      <c r="A91">
        <v>3.9462688180000001</v>
      </c>
      <c r="B91">
        <v>21.216662169999999</v>
      </c>
      <c r="C91">
        <f t="shared" si="5"/>
        <v>17.270393351999999</v>
      </c>
      <c r="D91">
        <f t="shared" si="6"/>
        <v>4.3763854284900869</v>
      </c>
      <c r="G91">
        <v>1.3727705294564585</v>
      </c>
      <c r="H91">
        <v>3.0547868243949847</v>
      </c>
      <c r="I91">
        <f t="shared" si="7"/>
        <v>1.6820162949385262</v>
      </c>
    </row>
    <row r="92" spans="1:9">
      <c r="A92">
        <v>1.6801982019999999</v>
      </c>
      <c r="B92">
        <v>10.95893135</v>
      </c>
      <c r="C92">
        <f t="shared" si="5"/>
        <v>9.2787331480000006</v>
      </c>
      <c r="D92">
        <f t="shared" si="6"/>
        <v>5.5224039264862883</v>
      </c>
      <c r="G92">
        <v>0.51891176383733595</v>
      </c>
      <c r="H92">
        <v>2.3941547722039469</v>
      </c>
      <c r="I92">
        <f t="shared" si="7"/>
        <v>1.875243008366611</v>
      </c>
    </row>
    <row r="93" spans="1:9">
      <c r="A93">
        <v>0.57270760499999995</v>
      </c>
      <c r="B93">
        <v>15.15187633</v>
      </c>
      <c r="C93">
        <f t="shared" si="5"/>
        <v>14.579168725000001</v>
      </c>
      <c r="D93">
        <f t="shared" si="6"/>
        <v>25.456565615188577</v>
      </c>
      <c r="G93">
        <v>-0.55737998046672177</v>
      </c>
      <c r="H93">
        <v>2.7181243744515964</v>
      </c>
      <c r="I93">
        <f t="shared" si="7"/>
        <v>3.275504354918318</v>
      </c>
    </row>
    <row r="94" spans="1:9">
      <c r="A94">
        <v>0.29314832499999999</v>
      </c>
      <c r="B94">
        <v>2.0296804669999999</v>
      </c>
      <c r="C94">
        <f t="shared" si="5"/>
        <v>1.7365321419999999</v>
      </c>
      <c r="D94">
        <f t="shared" si="6"/>
        <v>5.9237320970535992</v>
      </c>
      <c r="G94">
        <v>-1.2270765693866335</v>
      </c>
      <c r="H94">
        <v>0.70787837524544361</v>
      </c>
      <c r="I94">
        <f t="shared" si="7"/>
        <v>1.9349549446320771</v>
      </c>
    </row>
    <row r="95" spans="1:9">
      <c r="A95">
        <v>3.0540981409999999</v>
      </c>
      <c r="B95">
        <v>10.87349992</v>
      </c>
      <c r="C95">
        <f t="shared" si="5"/>
        <v>7.8194017790000006</v>
      </c>
      <c r="D95">
        <f t="shared" si="6"/>
        <v>2.5602981364703958</v>
      </c>
      <c r="G95">
        <v>1.1164843415125971</v>
      </c>
      <c r="H95">
        <v>2.3863286290695687</v>
      </c>
      <c r="I95">
        <f t="shared" si="7"/>
        <v>1.2698442875569715</v>
      </c>
    </row>
    <row r="96" spans="1:9">
      <c r="A96">
        <v>0.30367702600000002</v>
      </c>
      <c r="B96">
        <v>1.5429628710000001</v>
      </c>
      <c r="C96">
        <f t="shared" si="5"/>
        <v>1.2392858449999999</v>
      </c>
      <c r="D96">
        <f t="shared" si="6"/>
        <v>4.0809338174959597</v>
      </c>
      <c r="G96">
        <v>-1.1917905568118996</v>
      </c>
      <c r="H96">
        <v>0.43370451022695888</v>
      </c>
      <c r="I96">
        <f t="shared" si="7"/>
        <v>1.6254950670388584</v>
      </c>
    </row>
    <row r="97" spans="1:9">
      <c r="A97">
        <v>2.9214438880000002</v>
      </c>
      <c r="B97">
        <v>24.080448480000001</v>
      </c>
      <c r="C97">
        <f t="shared" si="5"/>
        <v>21.159004592000002</v>
      </c>
      <c r="D97">
        <f t="shared" si="6"/>
        <v>7.2426530863426262</v>
      </c>
      <c r="G97">
        <v>1.0720779762559398</v>
      </c>
      <c r="H97">
        <v>3.1814002448519023</v>
      </c>
      <c r="I97">
        <f t="shared" si="7"/>
        <v>2.1093222685959625</v>
      </c>
    </row>
    <row r="98" spans="1:9">
      <c r="A98">
        <v>0.18402796699999999</v>
      </c>
      <c r="B98">
        <v>2.4997290510000001</v>
      </c>
      <c r="C98">
        <f t="shared" si="5"/>
        <v>2.3157010840000001</v>
      </c>
      <c r="D98">
        <f t="shared" si="6"/>
        <v>12.58341936690525</v>
      </c>
      <c r="G98">
        <v>-1.6926675383579377</v>
      </c>
      <c r="H98">
        <v>0.91618234640066187</v>
      </c>
      <c r="I98">
        <f t="shared" si="7"/>
        <v>2.6088498847585995</v>
      </c>
    </row>
    <row r="99" spans="1:9">
      <c r="A99">
        <v>1.0843762969999999</v>
      </c>
      <c r="B99">
        <v>35.835889160000001</v>
      </c>
      <c r="C99">
        <f t="shared" si="5"/>
        <v>34.751512863000002</v>
      </c>
      <c r="D99">
        <f t="shared" si="6"/>
        <v>32.047466326165932</v>
      </c>
      <c r="G99">
        <v>8.100498023306324E-2</v>
      </c>
      <c r="H99">
        <v>3.5789498817514214</v>
      </c>
      <c r="I99">
        <f t="shared" si="7"/>
        <v>3.4979449015183581</v>
      </c>
    </row>
    <row r="100" spans="1:9">
      <c r="A100">
        <v>2.291156188</v>
      </c>
      <c r="B100">
        <v>12.8841822</v>
      </c>
      <c r="C100">
        <f t="shared" si="5"/>
        <v>10.593026011999999</v>
      </c>
      <c r="D100">
        <f t="shared" si="6"/>
        <v>4.6234412422345077</v>
      </c>
      <c r="G100">
        <v>0.82905657574382252</v>
      </c>
      <c r="H100">
        <v>2.5560003729399021</v>
      </c>
      <c r="I100">
        <f t="shared" si="7"/>
        <v>1.7269437971960797</v>
      </c>
    </row>
    <row r="101" spans="1:9">
      <c r="A101">
        <v>0.18228116999999999</v>
      </c>
      <c r="B101">
        <v>1.3651828260000001</v>
      </c>
      <c r="C101">
        <f t="shared" si="5"/>
        <v>1.1829016560000001</v>
      </c>
      <c r="D101">
        <f t="shared" si="6"/>
        <v>6.4894341856594409</v>
      </c>
      <c r="G101">
        <v>-1.7022048939105441</v>
      </c>
      <c r="H101">
        <v>0.31128835812950667</v>
      </c>
      <c r="I101">
        <f t="shared" si="7"/>
        <v>2.0134932520400506</v>
      </c>
    </row>
    <row r="102" spans="1:9">
      <c r="A102">
        <v>0.29647476</v>
      </c>
      <c r="B102">
        <v>4.7081599660000002</v>
      </c>
      <c r="C102">
        <f t="shared" si="5"/>
        <v>4.4116852060000005</v>
      </c>
      <c r="D102">
        <f t="shared" si="6"/>
        <v>14.880474837048524</v>
      </c>
      <c r="G102">
        <v>-1.215793190643369</v>
      </c>
      <c r="H102">
        <v>1.5492971663059403</v>
      </c>
      <c r="I102">
        <f t="shared" si="7"/>
        <v>2.765090356949309</v>
      </c>
    </row>
    <row r="103" spans="1:9">
      <c r="A103">
        <v>0.47257049000000001</v>
      </c>
      <c r="B103">
        <v>5.1599307950000002</v>
      </c>
      <c r="C103">
        <f t="shared" si="5"/>
        <v>4.6873603050000003</v>
      </c>
      <c r="D103">
        <f t="shared" si="6"/>
        <v>9.918859522946514</v>
      </c>
      <c r="G103">
        <v>-0.74956835799015753</v>
      </c>
      <c r="H103">
        <v>1.6409231675818268</v>
      </c>
      <c r="I103">
        <f t="shared" si="7"/>
        <v>2.3904915255719841</v>
      </c>
    </row>
    <row r="104" spans="1:9">
      <c r="A104">
        <v>0.14880025799999999</v>
      </c>
      <c r="B104">
        <v>4.8499944529999999</v>
      </c>
      <c r="C104">
        <f t="shared" si="5"/>
        <v>4.7011941950000002</v>
      </c>
      <c r="D104">
        <f t="shared" si="6"/>
        <v>31.593992229502724</v>
      </c>
      <c r="G104">
        <v>-1.9051504227136811</v>
      </c>
      <c r="H104">
        <v>1.5789775612373975</v>
      </c>
      <c r="I104">
        <f t="shared" si="7"/>
        <v>3.4841279839510788</v>
      </c>
    </row>
    <row r="105" spans="1:9">
      <c r="A105">
        <v>0.91535249699999999</v>
      </c>
      <c r="B105">
        <v>11.801019220000001</v>
      </c>
      <c r="C105">
        <f t="shared" si="5"/>
        <v>10.885666723</v>
      </c>
      <c r="D105">
        <f t="shared" si="6"/>
        <v>11.89232209304827</v>
      </c>
      <c r="G105">
        <v>-8.8446045270551513E-2</v>
      </c>
      <c r="H105">
        <v>2.4681859023178214</v>
      </c>
      <c r="I105">
        <f t="shared" si="7"/>
        <v>2.556631947588373</v>
      </c>
    </row>
    <row r="106" spans="1:9">
      <c r="A106">
        <v>0.63598024600000003</v>
      </c>
      <c r="B106">
        <v>2.8298590180000001</v>
      </c>
      <c r="C106">
        <f t="shared" si="5"/>
        <v>2.1938787720000001</v>
      </c>
      <c r="D106">
        <f t="shared" si="6"/>
        <v>3.4496020683007189</v>
      </c>
      <c r="G106">
        <v>-0.45258777587280652</v>
      </c>
      <c r="H106">
        <v>1.0402268934531096</v>
      </c>
      <c r="I106">
        <f t="shared" si="7"/>
        <v>1.4928146693259161</v>
      </c>
    </row>
    <row r="107" spans="1:9">
      <c r="A107">
        <v>1.9962231459999999</v>
      </c>
      <c r="B107">
        <v>30.666745410000001</v>
      </c>
      <c r="C107">
        <f t="shared" si="5"/>
        <v>28.670522264000002</v>
      </c>
      <c r="D107">
        <f t="shared" si="6"/>
        <v>14.36238344468129</v>
      </c>
      <c r="G107">
        <v>0.69125696823368521</v>
      </c>
      <c r="H107">
        <v>3.4231788560950251</v>
      </c>
      <c r="I107">
        <f t="shared" si="7"/>
        <v>2.7319218878613398</v>
      </c>
    </row>
    <row r="108" spans="1:9">
      <c r="A108">
        <v>0.22711384400000001</v>
      </c>
      <c r="B108">
        <v>7.255437401</v>
      </c>
      <c r="C108">
        <f t="shared" si="5"/>
        <v>7.0283235570000002</v>
      </c>
      <c r="D108">
        <f t="shared" si="6"/>
        <v>30.946257758730024</v>
      </c>
      <c r="G108">
        <v>-1.4823038717990589</v>
      </c>
      <c r="H108">
        <v>1.9817511741121905</v>
      </c>
      <c r="I108">
        <f t="shared" si="7"/>
        <v>3.4640550459112491</v>
      </c>
    </row>
    <row r="109" spans="1:9">
      <c r="A109">
        <v>5.4783043390000001</v>
      </c>
      <c r="B109">
        <v>31.272702639999999</v>
      </c>
      <c r="C109">
        <f t="shared" si="5"/>
        <v>25.794398300999998</v>
      </c>
      <c r="D109">
        <f t="shared" si="6"/>
        <v>4.7084639159912864</v>
      </c>
      <c r="G109">
        <v>1.7007956258876726</v>
      </c>
      <c r="H109">
        <v>3.4427455969002989</v>
      </c>
      <c r="I109">
        <f t="shared" si="7"/>
        <v>1.7419499710126263</v>
      </c>
    </row>
    <row r="110" spans="1:9">
      <c r="A110">
        <v>2.245477696</v>
      </c>
      <c r="B110">
        <v>26.67585536</v>
      </c>
      <c r="C110">
        <f t="shared" si="5"/>
        <v>24.430377663999998</v>
      </c>
      <c r="D110">
        <f t="shared" si="6"/>
        <v>10.879813105032952</v>
      </c>
      <c r="G110">
        <v>0.80891828074192784</v>
      </c>
      <c r="H110">
        <v>3.2837588626530958</v>
      </c>
      <c r="I110">
        <f t="shared" si="7"/>
        <v>2.4748405819111681</v>
      </c>
    </row>
    <row r="111" spans="1:9">
      <c r="A111">
        <v>1.283412255</v>
      </c>
      <c r="B111">
        <v>20.4962588</v>
      </c>
      <c r="C111">
        <f t="shared" si="5"/>
        <v>19.212846544999998</v>
      </c>
      <c r="D111">
        <f t="shared" si="6"/>
        <v>14.970128631816749</v>
      </c>
      <c r="G111">
        <v>0.24952235514329282</v>
      </c>
      <c r="H111">
        <v>3.0202423719286808</v>
      </c>
      <c r="I111">
        <f t="shared" si="7"/>
        <v>2.770720016785388</v>
      </c>
    </row>
    <row r="112" spans="1:9">
      <c r="A112">
        <v>0.213076829</v>
      </c>
      <c r="B112">
        <v>1.2829065239999999</v>
      </c>
      <c r="C112">
        <f t="shared" si="5"/>
        <v>1.0698296949999999</v>
      </c>
      <c r="D112">
        <f t="shared" si="6"/>
        <v>5.0208636012693804</v>
      </c>
      <c r="G112">
        <v>-1.5461024787786326</v>
      </c>
      <c r="H112">
        <v>0.24912822561372305</v>
      </c>
      <c r="I112">
        <f t="shared" si="7"/>
        <v>1.7952307043923557</v>
      </c>
    </row>
    <row r="113" spans="1:9">
      <c r="A113">
        <v>0.231209</v>
      </c>
      <c r="B113">
        <v>2.206019725</v>
      </c>
      <c r="C113">
        <f t="shared" si="5"/>
        <v>1.974810725</v>
      </c>
      <c r="D113">
        <f t="shared" si="6"/>
        <v>8.5412363921819647</v>
      </c>
      <c r="G113">
        <v>-1.4644332156059237</v>
      </c>
      <c r="H113">
        <v>0.79118986231445432</v>
      </c>
      <c r="I113">
        <f t="shared" si="7"/>
        <v>2.2556230779203781</v>
      </c>
    </row>
    <row r="114" spans="1:9">
      <c r="A114">
        <v>0.37719777599999998</v>
      </c>
      <c r="B114">
        <v>2.2901749499999999</v>
      </c>
      <c r="C114">
        <f t="shared" si="5"/>
        <v>1.9129771739999999</v>
      </c>
      <c r="D114">
        <f t="shared" si="6"/>
        <v>5.0715494515535005</v>
      </c>
      <c r="G114">
        <v>-0.97498562431656866</v>
      </c>
      <c r="H114">
        <v>0.82862821202792969</v>
      </c>
      <c r="I114">
        <f t="shared" si="7"/>
        <v>1.8036138363444985</v>
      </c>
    </row>
    <row r="115" spans="1:9">
      <c r="A115">
        <v>0.210216717</v>
      </c>
      <c r="B115">
        <v>3.9096785870000001</v>
      </c>
      <c r="C115">
        <f t="shared" si="5"/>
        <v>3.6994618700000004</v>
      </c>
      <c r="D115">
        <f t="shared" si="6"/>
        <v>17.598323876402276</v>
      </c>
      <c r="G115">
        <v>-1.5596162946815701</v>
      </c>
      <c r="H115">
        <v>1.3634551678051388</v>
      </c>
      <c r="I115">
        <f t="shared" si="7"/>
        <v>2.9230714624867087</v>
      </c>
    </row>
    <row r="116" spans="1:9">
      <c r="A116">
        <v>0.14887204900000001</v>
      </c>
      <c r="B116">
        <v>2.1602475970000001</v>
      </c>
      <c r="C116">
        <f t="shared" si="5"/>
        <v>2.0113755480000002</v>
      </c>
      <c r="D116">
        <f t="shared" si="6"/>
        <v>13.510766873370569</v>
      </c>
      <c r="G116">
        <v>-1.9046680735014521</v>
      </c>
      <c r="H116">
        <v>0.77022284336749969</v>
      </c>
      <c r="I116">
        <f t="shared" si="7"/>
        <v>2.6748909168689519</v>
      </c>
    </row>
    <row r="117" spans="1:9">
      <c r="A117">
        <v>0.343187507</v>
      </c>
      <c r="B117">
        <v>3.635268344</v>
      </c>
      <c r="C117">
        <f t="shared" si="5"/>
        <v>3.2920808369999999</v>
      </c>
      <c r="D117">
        <f t="shared" si="6"/>
        <v>9.5926593184524052</v>
      </c>
      <c r="G117">
        <v>-1.0694783135460326</v>
      </c>
      <c r="H117">
        <v>1.2906829305441083</v>
      </c>
      <c r="I117">
        <f t="shared" si="7"/>
        <v>2.3601612440901407</v>
      </c>
    </row>
    <row r="118" spans="1:9">
      <c r="A118">
        <v>0.11947856499999999</v>
      </c>
      <c r="B118">
        <v>0.63051649600000004</v>
      </c>
      <c r="C118">
        <f t="shared" si="5"/>
        <v>0.51103793100000006</v>
      </c>
      <c r="D118">
        <f t="shared" si="6"/>
        <v>4.2772352597304799</v>
      </c>
      <c r="G118">
        <v>-2.1246182960846594</v>
      </c>
      <c r="H118">
        <v>-0.46121596055700675</v>
      </c>
      <c r="I118">
        <f t="shared" si="7"/>
        <v>1.6634023355276526</v>
      </c>
    </row>
    <row r="119" spans="1:9">
      <c r="A119">
        <v>16.61072382</v>
      </c>
      <c r="B119">
        <v>39.38264015</v>
      </c>
      <c r="C119">
        <f t="shared" si="5"/>
        <v>22.77191633</v>
      </c>
      <c r="D119">
        <f t="shared" si="6"/>
        <v>1.3709165582887886</v>
      </c>
      <c r="G119">
        <v>2.8100485000387723</v>
      </c>
      <c r="H119">
        <v>3.6733251138788892</v>
      </c>
      <c r="I119">
        <f t="shared" si="7"/>
        <v>0.86327661384011689</v>
      </c>
    </row>
    <row r="120" spans="1:9">
      <c r="A120">
        <v>9.8479708469999991</v>
      </c>
      <c r="B120">
        <v>4.5336301260000003</v>
      </c>
      <c r="C120">
        <f t="shared" si="5"/>
        <v>-5.3143407209999989</v>
      </c>
      <c r="D120">
        <f t="shared" si="6"/>
        <v>-0.53963814511279895</v>
      </c>
      <c r="G120">
        <v>2.2872654285812639</v>
      </c>
      <c r="H120">
        <v>1.5115229709014855</v>
      </c>
      <c r="I120">
        <f t="shared" si="7"/>
        <v>-0.77574245767977845</v>
      </c>
    </row>
    <row r="121" spans="1:9">
      <c r="A121">
        <v>44.567079470000003</v>
      </c>
      <c r="B121">
        <v>127.2596763</v>
      </c>
      <c r="C121">
        <f t="shared" si="5"/>
        <v>82.692596829999985</v>
      </c>
      <c r="D121">
        <f t="shared" si="6"/>
        <v>1.8554636698970568</v>
      </c>
      <c r="G121">
        <v>3.7969954579997323</v>
      </c>
      <c r="H121">
        <v>4.8462296941899075</v>
      </c>
      <c r="I121">
        <f t="shared" si="7"/>
        <v>1.0492342361901752</v>
      </c>
    </row>
    <row r="122" spans="1:9">
      <c r="A122">
        <v>3.1776243929999999</v>
      </c>
      <c r="B122">
        <v>5.4324751620000002</v>
      </c>
      <c r="C122">
        <f t="shared" si="5"/>
        <v>2.2548507690000004</v>
      </c>
      <c r="D122">
        <f t="shared" si="6"/>
        <v>0.7096026748684392</v>
      </c>
      <c r="G122">
        <v>1.1561338713875902</v>
      </c>
      <c r="H122">
        <v>1.6923948610257085</v>
      </c>
      <c r="I122">
        <f t="shared" si="7"/>
        <v>0.5362609896381183</v>
      </c>
    </row>
    <row r="123" spans="1:9">
      <c r="A123">
        <v>29.100678169999998</v>
      </c>
      <c r="B123">
        <v>20.849981140000001</v>
      </c>
      <c r="C123">
        <f t="shared" si="5"/>
        <v>-8.2506970299999978</v>
      </c>
      <c r="D123">
        <f t="shared" si="6"/>
        <v>-0.28352250012185876</v>
      </c>
      <c r="G123">
        <v>3.3707614787168905</v>
      </c>
      <c r="H123">
        <v>3.0373530436880465</v>
      </c>
      <c r="I123">
        <f t="shared" si="7"/>
        <v>-0.33340843502884399</v>
      </c>
    </row>
    <row r="124" spans="1:9">
      <c r="A124">
        <v>11.10589182</v>
      </c>
      <c r="B124">
        <v>148.38948339999999</v>
      </c>
      <c r="C124">
        <f t="shared" si="5"/>
        <v>137.28359157999998</v>
      </c>
      <c r="D124">
        <f t="shared" si="6"/>
        <v>12.361329806290151</v>
      </c>
      <c r="G124">
        <v>2.4074757620912615</v>
      </c>
      <c r="H124">
        <v>4.9998404616453058</v>
      </c>
      <c r="I124">
        <f t="shared" si="7"/>
        <v>2.5923646995540444</v>
      </c>
    </row>
    <row r="125" spans="1:9">
      <c r="A125">
        <v>0.82655997000000003</v>
      </c>
      <c r="B125">
        <v>6.8562671560000004</v>
      </c>
      <c r="C125">
        <f t="shared" si="5"/>
        <v>6.0297071860000004</v>
      </c>
      <c r="D125">
        <f t="shared" si="6"/>
        <v>7.2949421758230084</v>
      </c>
      <c r="G125">
        <v>-0.1904828053696678</v>
      </c>
      <c r="H125">
        <v>1.9251631472807522</v>
      </c>
      <c r="I125">
        <f t="shared" si="7"/>
        <v>2.1156459526504201</v>
      </c>
    </row>
    <row r="126" spans="1:9">
      <c r="A126">
        <v>6.1537786199999998</v>
      </c>
      <c r="B126">
        <v>3.6568473309999998</v>
      </c>
      <c r="C126">
        <f t="shared" si="5"/>
        <v>-2.4969312889999999</v>
      </c>
      <c r="D126">
        <f t="shared" si="6"/>
        <v>-0.40575578732794909</v>
      </c>
      <c r="G126">
        <v>1.8170663029021272</v>
      </c>
      <c r="H126">
        <v>1.2966013912353793</v>
      </c>
      <c r="I126">
        <f t="shared" si="7"/>
        <v>-0.52046491166674791</v>
      </c>
    </row>
    <row r="127" spans="1:9">
      <c r="A127">
        <v>22.623985730000001</v>
      </c>
      <c r="B127">
        <v>5.3225743789999997</v>
      </c>
      <c r="C127">
        <f t="shared" si="5"/>
        <v>-17.301411351000002</v>
      </c>
      <c r="D127">
        <f t="shared" si="6"/>
        <v>-0.76473754702107488</v>
      </c>
      <c r="G127">
        <v>3.119010658967853</v>
      </c>
      <c r="H127">
        <v>1.6719570921359534</v>
      </c>
      <c r="I127">
        <f t="shared" si="7"/>
        <v>-1.4470535668318996</v>
      </c>
    </row>
    <row r="128" spans="1:9">
      <c r="A128">
        <v>1.488861073</v>
      </c>
      <c r="B128">
        <v>6.6291717180000003</v>
      </c>
      <c r="C128">
        <f t="shared" si="5"/>
        <v>5.1403106450000005</v>
      </c>
      <c r="D128">
        <f t="shared" si="6"/>
        <v>3.4525119490446912</v>
      </c>
      <c r="G128">
        <v>0.39801144713269687</v>
      </c>
      <c r="H128">
        <v>1.8914798669816775</v>
      </c>
      <c r="I128">
        <f t="shared" si="7"/>
        <v>1.4934684198489805</v>
      </c>
    </row>
    <row r="129" spans="1:9">
      <c r="A129">
        <v>0.182607295</v>
      </c>
      <c r="B129">
        <v>2.7226161150000001</v>
      </c>
      <c r="C129">
        <f t="shared" si="5"/>
        <v>2.5400088200000002</v>
      </c>
      <c r="D129">
        <f t="shared" si="6"/>
        <v>13.909678800072035</v>
      </c>
      <c r="G129">
        <v>-1.7004173609073387</v>
      </c>
      <c r="H129">
        <v>1.0015932250532282</v>
      </c>
      <c r="I129">
        <f t="shared" si="7"/>
        <v>2.7020105859605668</v>
      </c>
    </row>
    <row r="130" spans="1:9">
      <c r="A130">
        <v>0.21832146999999999</v>
      </c>
      <c r="B130">
        <v>5.1887242389999999</v>
      </c>
      <c r="C130">
        <f t="shared" si="5"/>
        <v>4.9704027689999997</v>
      </c>
      <c r="D130">
        <f t="shared" si="6"/>
        <v>22.766440556670858</v>
      </c>
      <c r="G130">
        <v>-1.5217866693691047</v>
      </c>
      <c r="H130">
        <v>1.6464878555932156</v>
      </c>
      <c r="I130">
        <f t="shared" si="7"/>
        <v>3.1682745249623201</v>
      </c>
    </row>
    <row r="131" spans="1:9">
      <c r="A131">
        <v>0.41256357100000002</v>
      </c>
      <c r="B131">
        <v>4.6372198769999997</v>
      </c>
      <c r="C131">
        <f t="shared" ref="C131:C194" si="8">B131-A131</f>
        <v>4.224656306</v>
      </c>
      <c r="D131">
        <f t="shared" ref="D131:D194" si="9">C131/A131</f>
        <v>10.240012940938986</v>
      </c>
      <c r="G131">
        <v>-0.88536497356620947</v>
      </c>
      <c r="H131">
        <v>1.534115022227764</v>
      </c>
      <c r="I131">
        <f t="shared" ref="I131:I194" si="10">H131-G131</f>
        <v>2.4194799957939734</v>
      </c>
    </row>
    <row r="132" spans="1:9">
      <c r="A132">
        <v>0.29077156500000001</v>
      </c>
      <c r="B132">
        <v>9.1330362019999995</v>
      </c>
      <c r="C132">
        <f t="shared" si="8"/>
        <v>8.8422646369999995</v>
      </c>
      <c r="D132">
        <f t="shared" si="9"/>
        <v>30.409660714244872</v>
      </c>
      <c r="G132">
        <v>-1.2352173200844851</v>
      </c>
      <c r="H132">
        <v>2.2118981915689804</v>
      </c>
      <c r="I132">
        <f t="shared" si="10"/>
        <v>3.4471155116534655</v>
      </c>
    </row>
    <row r="133" spans="1:9">
      <c r="A133">
        <v>0.33276512200000002</v>
      </c>
      <c r="B133">
        <v>5.5616372829999996</v>
      </c>
      <c r="C133">
        <f t="shared" si="8"/>
        <v>5.228872161</v>
      </c>
      <c r="D133">
        <f t="shared" si="9"/>
        <v>15.713402082445405</v>
      </c>
      <c r="G133">
        <v>-1.1003183772098559</v>
      </c>
      <c r="H133">
        <v>1.7158925402728444</v>
      </c>
      <c r="I133">
        <f t="shared" si="10"/>
        <v>2.8162109174827004</v>
      </c>
    </row>
    <row r="134" spans="1:9">
      <c r="A134">
        <v>0.20305417100000001</v>
      </c>
      <c r="B134">
        <v>2.8131632419999999</v>
      </c>
      <c r="C134">
        <f t="shared" si="8"/>
        <v>2.6101090710000001</v>
      </c>
      <c r="D134">
        <f t="shared" si="9"/>
        <v>12.85424996761086</v>
      </c>
      <c r="G134">
        <v>-1.5942824833223208</v>
      </c>
      <c r="H134">
        <v>1.0343095591072975</v>
      </c>
      <c r="I134">
        <f t="shared" si="10"/>
        <v>2.6285920424296183</v>
      </c>
    </row>
    <row r="135" spans="1:9">
      <c r="A135">
        <v>1.4445719109999999</v>
      </c>
      <c r="B135">
        <v>15.11521211</v>
      </c>
      <c r="C135">
        <f t="shared" si="8"/>
        <v>13.670640198999999</v>
      </c>
      <c r="D135">
        <f t="shared" si="9"/>
        <v>9.4634542558262442</v>
      </c>
      <c r="G135">
        <v>0.36781302230878438</v>
      </c>
      <c r="H135">
        <v>2.7157016612126808</v>
      </c>
      <c r="I135">
        <f t="shared" si="10"/>
        <v>2.3478886389038962</v>
      </c>
    </row>
    <row r="136" spans="1:9">
      <c r="A136">
        <v>0.173611287</v>
      </c>
      <c r="B136">
        <v>1.431860497</v>
      </c>
      <c r="C136">
        <f t="shared" si="8"/>
        <v>1.25824921</v>
      </c>
      <c r="D136">
        <f t="shared" si="9"/>
        <v>7.2475081070045864</v>
      </c>
      <c r="G136">
        <v>-1.750936461588313</v>
      </c>
      <c r="H136">
        <v>0.35897464549689406</v>
      </c>
      <c r="I136">
        <f t="shared" si="10"/>
        <v>2.1099111070852068</v>
      </c>
    </row>
    <row r="137" spans="1:9">
      <c r="A137">
        <v>1.5181342849999999</v>
      </c>
      <c r="B137">
        <v>3.2663101000000001</v>
      </c>
      <c r="C137">
        <f t="shared" si="8"/>
        <v>1.7481758150000002</v>
      </c>
      <c r="D137">
        <f t="shared" si="9"/>
        <v>1.1515291053452497</v>
      </c>
      <c r="G137">
        <v>0.41748213685275593</v>
      </c>
      <c r="H137">
        <v>1.1836609379895631</v>
      </c>
      <c r="I137">
        <f t="shared" si="10"/>
        <v>0.76617880113680714</v>
      </c>
    </row>
    <row r="138" spans="1:9">
      <c r="A138">
        <v>0.33389595100000002</v>
      </c>
      <c r="B138">
        <v>3.5066547250000002</v>
      </c>
      <c r="C138">
        <f t="shared" si="8"/>
        <v>3.1727587740000001</v>
      </c>
      <c r="D138">
        <f t="shared" si="9"/>
        <v>9.5022379411842586</v>
      </c>
      <c r="G138">
        <v>-1.0969258584911985</v>
      </c>
      <c r="H138">
        <v>1.2546625132174047</v>
      </c>
      <c r="I138">
        <f t="shared" si="10"/>
        <v>2.351588371708603</v>
      </c>
    </row>
    <row r="139" spans="1:9">
      <c r="A139">
        <v>1.554528578</v>
      </c>
      <c r="B139">
        <v>11.288812979999999</v>
      </c>
      <c r="C139">
        <f t="shared" si="8"/>
        <v>9.7342844020000001</v>
      </c>
      <c r="D139">
        <f t="shared" si="9"/>
        <v>6.2618883562267973</v>
      </c>
      <c r="G139">
        <v>0.44117233439400411</v>
      </c>
      <c r="H139">
        <v>2.4238122335729559</v>
      </c>
      <c r="I139">
        <f t="shared" si="10"/>
        <v>1.9826398991789518</v>
      </c>
    </row>
    <row r="140" spans="1:9">
      <c r="A140">
        <v>1.388324785</v>
      </c>
      <c r="B140">
        <v>23.749147350000001</v>
      </c>
      <c r="C140">
        <f t="shared" si="8"/>
        <v>22.360822564999999</v>
      </c>
      <c r="D140">
        <f t="shared" si="9"/>
        <v>16.10633391162861</v>
      </c>
      <c r="G140">
        <v>0.32809782966883516</v>
      </c>
      <c r="H140">
        <v>3.1675466287835605</v>
      </c>
      <c r="I140">
        <f t="shared" si="10"/>
        <v>2.8394487991147255</v>
      </c>
    </row>
    <row r="141" spans="1:9">
      <c r="A141">
        <v>0.59435410200000005</v>
      </c>
      <c r="B141">
        <v>7.1380593929999998</v>
      </c>
      <c r="C141">
        <f t="shared" si="8"/>
        <v>6.5437052910000002</v>
      </c>
      <c r="D141">
        <f t="shared" si="9"/>
        <v>11.00977560175062</v>
      </c>
      <c r="G141">
        <v>-0.52028000592204726</v>
      </c>
      <c r="H141">
        <v>1.965440945711413</v>
      </c>
      <c r="I141">
        <f t="shared" si="10"/>
        <v>2.4857209516334602</v>
      </c>
    </row>
    <row r="142" spans="1:9">
      <c r="A142">
        <v>1.0118281309999999</v>
      </c>
      <c r="B142">
        <v>24.714892169999999</v>
      </c>
      <c r="C142">
        <f t="shared" si="8"/>
        <v>23.703064038999997</v>
      </c>
      <c r="D142">
        <f t="shared" si="9"/>
        <v>23.425978496539745</v>
      </c>
      <c r="G142">
        <v>1.1758725414683752E-2</v>
      </c>
      <c r="H142">
        <v>3.2074059838119178</v>
      </c>
      <c r="I142">
        <f t="shared" si="10"/>
        <v>3.195647258397234</v>
      </c>
    </row>
    <row r="143" spans="1:9">
      <c r="A143">
        <v>0.51809792099999996</v>
      </c>
      <c r="B143">
        <v>13.937731749999999</v>
      </c>
      <c r="C143">
        <f t="shared" si="8"/>
        <v>13.419633828999999</v>
      </c>
      <c r="D143">
        <f t="shared" si="9"/>
        <v>25.901732635981759</v>
      </c>
      <c r="G143">
        <v>-0.6575910179082991</v>
      </c>
      <c r="H143">
        <v>2.6345996768847875</v>
      </c>
      <c r="I143">
        <f t="shared" si="10"/>
        <v>3.2921906947930868</v>
      </c>
    </row>
    <row r="144" spans="1:9">
      <c r="A144">
        <v>0.80844231499999997</v>
      </c>
      <c r="B144">
        <v>8.0999492360000005</v>
      </c>
      <c r="C144">
        <f t="shared" si="8"/>
        <v>7.2915069210000008</v>
      </c>
      <c r="D144">
        <f t="shared" si="9"/>
        <v>9.0192049398107041</v>
      </c>
      <c r="G144">
        <v>-0.21264595068601161</v>
      </c>
      <c r="H144">
        <v>2.0918577944982606</v>
      </c>
      <c r="I144">
        <f t="shared" si="10"/>
        <v>2.304503745184272</v>
      </c>
    </row>
    <row r="145" spans="1:9">
      <c r="A145">
        <v>0.48947794300000003</v>
      </c>
      <c r="B145">
        <v>6.2753703359999999</v>
      </c>
      <c r="C145">
        <f t="shared" si="8"/>
        <v>5.7858923930000001</v>
      </c>
      <c r="D145">
        <f t="shared" si="9"/>
        <v>11.820537525222051</v>
      </c>
      <c r="G145">
        <v>-0.71441587829239328</v>
      </c>
      <c r="H145">
        <v>1.8366325009656153</v>
      </c>
      <c r="I145">
        <f t="shared" si="10"/>
        <v>2.5510483792580088</v>
      </c>
    </row>
    <row r="146" spans="1:9">
      <c r="A146">
        <v>0.67998340499999999</v>
      </c>
      <c r="B146">
        <v>10.321834239999999</v>
      </c>
      <c r="C146">
        <f t="shared" si="8"/>
        <v>9.6418508349999996</v>
      </c>
      <c r="D146">
        <f t="shared" si="9"/>
        <v>14.179538447706676</v>
      </c>
      <c r="G146">
        <v>-0.3856868855215419</v>
      </c>
      <c r="H146">
        <v>2.3342614806942765</v>
      </c>
      <c r="I146">
        <f t="shared" si="10"/>
        <v>2.7199483662158186</v>
      </c>
    </row>
    <row r="147" spans="1:9">
      <c r="A147">
        <v>0.67528776199999996</v>
      </c>
      <c r="B147">
        <v>3.293343949</v>
      </c>
      <c r="C147">
        <f t="shared" si="8"/>
        <v>2.6180561870000001</v>
      </c>
      <c r="D147">
        <f t="shared" si="9"/>
        <v>3.8769489606121432</v>
      </c>
      <c r="G147">
        <v>-0.39261636488155971</v>
      </c>
      <c r="H147">
        <v>1.1919034464670384</v>
      </c>
      <c r="I147">
        <f t="shared" si="10"/>
        <v>1.5845198113485981</v>
      </c>
    </row>
    <row r="148" spans="1:9">
      <c r="A148">
        <v>0.599290086</v>
      </c>
      <c r="B148">
        <v>4.3546360030000004</v>
      </c>
      <c r="C148">
        <f t="shared" si="8"/>
        <v>3.7553459170000005</v>
      </c>
      <c r="D148">
        <f t="shared" si="9"/>
        <v>6.2663241136947496</v>
      </c>
      <c r="G148">
        <v>-0.51200951428790031</v>
      </c>
      <c r="H148">
        <v>1.4712410254106574</v>
      </c>
      <c r="I148">
        <f t="shared" si="10"/>
        <v>1.9832505396985578</v>
      </c>
    </row>
    <row r="149" spans="1:9">
      <c r="A149">
        <v>2.746893783</v>
      </c>
      <c r="B149">
        <v>11.715490340000001</v>
      </c>
      <c r="C149">
        <f t="shared" si="8"/>
        <v>8.9685965570000015</v>
      </c>
      <c r="D149">
        <f t="shared" si="9"/>
        <v>3.2649957608499207</v>
      </c>
      <c r="G149">
        <v>1.0104707398202446</v>
      </c>
      <c r="H149">
        <v>2.4609119268243358</v>
      </c>
      <c r="I149">
        <f t="shared" si="10"/>
        <v>1.4504411870040912</v>
      </c>
    </row>
    <row r="150" spans="1:9">
      <c r="A150">
        <v>0.306127869</v>
      </c>
      <c r="B150">
        <v>1.0359530990000001</v>
      </c>
      <c r="C150">
        <f t="shared" si="8"/>
        <v>0.7298252300000001</v>
      </c>
      <c r="D150">
        <f t="shared" si="9"/>
        <v>2.3840535407117738</v>
      </c>
      <c r="G150">
        <v>-1.1837523917651553</v>
      </c>
      <c r="H150">
        <v>3.5321871576996865E-2</v>
      </c>
      <c r="I150">
        <f t="shared" si="10"/>
        <v>1.2190742633421523</v>
      </c>
    </row>
    <row r="151" spans="1:9">
      <c r="A151">
        <v>0.80053764699999996</v>
      </c>
      <c r="B151">
        <v>4.4116772839999996</v>
      </c>
      <c r="C151">
        <f t="shared" si="8"/>
        <v>3.6111396369999995</v>
      </c>
      <c r="D151">
        <f t="shared" si="9"/>
        <v>4.5108929611651352</v>
      </c>
      <c r="G151">
        <v>-0.22247171829456114</v>
      </c>
      <c r="H151">
        <v>1.4842549536570955</v>
      </c>
      <c r="I151">
        <f t="shared" si="10"/>
        <v>1.7067266719516567</v>
      </c>
    </row>
    <row r="152" spans="1:9">
      <c r="A152">
        <v>0.18570658200000001</v>
      </c>
      <c r="B152">
        <v>1.7028721659999999</v>
      </c>
      <c r="C152">
        <f t="shared" si="8"/>
        <v>1.5171655839999998</v>
      </c>
      <c r="D152">
        <f t="shared" si="9"/>
        <v>8.1696920360097938</v>
      </c>
      <c r="G152">
        <v>-1.6835873669866666</v>
      </c>
      <c r="H152">
        <v>0.53231633485841023</v>
      </c>
      <c r="I152">
        <f t="shared" si="10"/>
        <v>2.2159037018450767</v>
      </c>
    </row>
    <row r="153" spans="1:9">
      <c r="A153">
        <v>0.53105732100000003</v>
      </c>
      <c r="B153">
        <v>7.0446419059999998</v>
      </c>
      <c r="C153">
        <f t="shared" si="8"/>
        <v>6.5135845850000003</v>
      </c>
      <c r="D153">
        <f t="shared" si="9"/>
        <v>12.265313606325371</v>
      </c>
      <c r="G153">
        <v>-0.63288531441374629</v>
      </c>
      <c r="H153">
        <v>1.9522673145342939</v>
      </c>
      <c r="I153">
        <f t="shared" si="10"/>
        <v>2.5851526289480402</v>
      </c>
    </row>
    <row r="154" spans="1:9">
      <c r="A154">
        <v>0.222606265</v>
      </c>
      <c r="B154">
        <v>1.270905231</v>
      </c>
      <c r="C154">
        <f t="shared" si="8"/>
        <v>1.0482989659999999</v>
      </c>
      <c r="D154">
        <f t="shared" si="9"/>
        <v>4.7092069309010682</v>
      </c>
      <c r="G154">
        <v>-1.5023506958826578</v>
      </c>
      <c r="H154">
        <v>0.23972942687821805</v>
      </c>
      <c r="I154">
        <f t="shared" si="10"/>
        <v>1.7420801227608758</v>
      </c>
    </row>
    <row r="155" spans="1:9">
      <c r="A155">
        <v>0.233110013</v>
      </c>
      <c r="B155">
        <v>1.086767512</v>
      </c>
      <c r="C155">
        <f t="shared" si="8"/>
        <v>0.85365749899999999</v>
      </c>
      <c r="D155">
        <f t="shared" si="9"/>
        <v>3.6620370271267584</v>
      </c>
      <c r="G155">
        <v>-1.4562447780500443</v>
      </c>
      <c r="H155">
        <v>8.3207704858612966E-2</v>
      </c>
      <c r="I155">
        <f t="shared" si="10"/>
        <v>1.5394524829086573</v>
      </c>
    </row>
    <row r="156" spans="1:9">
      <c r="A156">
        <v>0.54623366299999998</v>
      </c>
      <c r="B156">
        <v>1.0241392410000001</v>
      </c>
      <c r="C156">
        <f t="shared" si="8"/>
        <v>0.47790557800000011</v>
      </c>
      <c r="D156">
        <f t="shared" si="9"/>
        <v>0.8749105197494943</v>
      </c>
      <c r="G156">
        <v>-0.60470844057106432</v>
      </c>
      <c r="H156">
        <v>2.3852494912271049E-2</v>
      </c>
      <c r="I156">
        <f t="shared" si="10"/>
        <v>0.62856093548333536</v>
      </c>
    </row>
    <row r="157" spans="1:9">
      <c r="A157">
        <v>0.64403819500000004</v>
      </c>
      <c r="B157">
        <v>7.4085316060000004</v>
      </c>
      <c r="C157">
        <f t="shared" si="8"/>
        <v>6.7644934110000001</v>
      </c>
      <c r="D157">
        <f t="shared" si="9"/>
        <v>10.503248818961739</v>
      </c>
      <c r="G157">
        <v>-0.43999724563028175</v>
      </c>
      <c r="H157">
        <v>2.0026322558382903</v>
      </c>
      <c r="I157">
        <f t="shared" si="10"/>
        <v>2.4426295014685722</v>
      </c>
    </row>
    <row r="158" spans="1:9">
      <c r="A158">
        <v>0.32988484699999998</v>
      </c>
      <c r="B158">
        <v>1.092879787</v>
      </c>
      <c r="C158">
        <f t="shared" si="8"/>
        <v>0.76299494000000001</v>
      </c>
      <c r="D158">
        <f t="shared" si="9"/>
        <v>2.3129129662630428</v>
      </c>
      <c r="G158">
        <v>-1.1090116339031493</v>
      </c>
      <c r="H158">
        <v>8.8816218699191166E-2</v>
      </c>
      <c r="I158">
        <f t="shared" si="10"/>
        <v>1.1978278526023405</v>
      </c>
    </row>
    <row r="159" spans="1:9">
      <c r="A159">
        <v>1.8059377590000001</v>
      </c>
      <c r="B159">
        <v>4.5556510640000001</v>
      </c>
      <c r="C159">
        <f t="shared" si="8"/>
        <v>2.7497133050000002</v>
      </c>
      <c r="D159">
        <f t="shared" si="9"/>
        <v>1.5225958321634494</v>
      </c>
      <c r="G159">
        <v>0.59107999094576569</v>
      </c>
      <c r="H159">
        <v>1.5163684544166129</v>
      </c>
      <c r="I159">
        <f t="shared" si="10"/>
        <v>0.92528846347084726</v>
      </c>
    </row>
    <row r="160" spans="1:9">
      <c r="A160">
        <v>3.8547024510000001</v>
      </c>
      <c r="B160">
        <v>24.547831630000001</v>
      </c>
      <c r="C160">
        <f t="shared" si="8"/>
        <v>20.693129179</v>
      </c>
      <c r="D160">
        <f t="shared" si="9"/>
        <v>5.3682818432929151</v>
      </c>
      <c r="G160">
        <v>1.3492938188223531</v>
      </c>
      <c r="H160">
        <v>3.200623525696094</v>
      </c>
      <c r="I160">
        <f t="shared" si="10"/>
        <v>1.8513297068737409</v>
      </c>
    </row>
    <row r="161" spans="1:9">
      <c r="A161">
        <v>0.58983882499999996</v>
      </c>
      <c r="B161">
        <v>5.2213518710000004</v>
      </c>
      <c r="C161">
        <f t="shared" si="8"/>
        <v>4.6315130460000002</v>
      </c>
      <c r="D161">
        <f t="shared" si="9"/>
        <v>7.8521671509161859</v>
      </c>
      <c r="G161">
        <v>-0.52790595736837109</v>
      </c>
      <c r="H161">
        <v>1.6527563474840181</v>
      </c>
      <c r="I161">
        <f t="shared" si="10"/>
        <v>2.1806623048523894</v>
      </c>
    </row>
    <row r="162" spans="1:9">
      <c r="A162">
        <v>4.4147011090000001</v>
      </c>
      <c r="B162">
        <v>143.06165590000001</v>
      </c>
      <c r="C162">
        <f t="shared" si="8"/>
        <v>138.64695479100001</v>
      </c>
      <c r="D162">
        <f t="shared" si="9"/>
        <v>31.405739905777164</v>
      </c>
      <c r="G162">
        <v>1.4849401327834966</v>
      </c>
      <c r="H162">
        <v>4.9632756974769432</v>
      </c>
      <c r="I162">
        <f t="shared" si="10"/>
        <v>3.4783355646934466</v>
      </c>
    </row>
    <row r="163" spans="1:9">
      <c r="A163">
        <v>4.0915297050000001</v>
      </c>
      <c r="B163">
        <v>47.314873759999998</v>
      </c>
      <c r="C163">
        <f t="shared" si="8"/>
        <v>43.223344054999998</v>
      </c>
      <c r="D163">
        <f t="shared" si="9"/>
        <v>10.564103690162503</v>
      </c>
      <c r="G163">
        <v>1.4089189111324749</v>
      </c>
      <c r="H163">
        <v>3.8568247018809734</v>
      </c>
      <c r="I163">
        <f t="shared" si="10"/>
        <v>2.4479057907484982</v>
      </c>
    </row>
    <row r="164" spans="1:9">
      <c r="A164">
        <v>2.8791937879999998</v>
      </c>
      <c r="B164">
        <v>26.045454679999999</v>
      </c>
      <c r="C164">
        <f t="shared" si="8"/>
        <v>23.166260892</v>
      </c>
      <c r="D164">
        <f t="shared" si="9"/>
        <v>8.046092968300055</v>
      </c>
      <c r="G164">
        <v>1.0575103202365941</v>
      </c>
      <c r="H164">
        <v>3.2598432685222178</v>
      </c>
      <c r="I164">
        <f t="shared" si="10"/>
        <v>2.2023329482856235</v>
      </c>
    </row>
    <row r="165" spans="1:9">
      <c r="A165">
        <v>19.317507719999998</v>
      </c>
      <c r="B165">
        <v>181.6081926</v>
      </c>
      <c r="C165">
        <f t="shared" si="8"/>
        <v>162.29068487999999</v>
      </c>
      <c r="D165">
        <f t="shared" si="9"/>
        <v>8.4012227266758401</v>
      </c>
      <c r="G165">
        <v>2.9610118204631561</v>
      </c>
      <c r="H165">
        <v>5.2018515785857362</v>
      </c>
      <c r="I165">
        <f t="shared" si="10"/>
        <v>2.2408397581225801</v>
      </c>
    </row>
    <row r="166" spans="1:9">
      <c r="A166">
        <v>3.3225996819999999</v>
      </c>
      <c r="B166">
        <v>13.673228870000001</v>
      </c>
      <c r="C166">
        <f t="shared" si="8"/>
        <v>10.350629188000001</v>
      </c>
      <c r="D166">
        <f t="shared" si="9"/>
        <v>3.1152200621922534</v>
      </c>
      <c r="G166">
        <v>1.2007475132620564</v>
      </c>
      <c r="H166">
        <v>2.6154398240151999</v>
      </c>
      <c r="I166">
        <f t="shared" si="10"/>
        <v>1.4146923107531435</v>
      </c>
    </row>
    <row r="167" spans="1:9">
      <c r="A167">
        <v>4.5820538089999996</v>
      </c>
      <c r="B167">
        <v>3.4077581970000002</v>
      </c>
      <c r="C167">
        <f t="shared" si="8"/>
        <v>-1.1742956119999994</v>
      </c>
      <c r="D167">
        <f t="shared" si="9"/>
        <v>-0.2562814975444998</v>
      </c>
      <c r="G167">
        <v>1.522147327524112</v>
      </c>
      <c r="H167">
        <v>1.2260546548653795</v>
      </c>
      <c r="I167">
        <f t="shared" si="10"/>
        <v>-0.29609267265873251</v>
      </c>
    </row>
    <row r="168" spans="1:9">
      <c r="A168">
        <v>29.06321458</v>
      </c>
      <c r="B168">
        <v>138.154551</v>
      </c>
      <c r="C168">
        <f t="shared" si="8"/>
        <v>109.09133642</v>
      </c>
      <c r="D168">
        <f t="shared" si="9"/>
        <v>3.7535881008521255</v>
      </c>
      <c r="G168">
        <v>3.3694732707442272</v>
      </c>
      <c r="H168">
        <v>4.9283729932806892</v>
      </c>
      <c r="I168">
        <f t="shared" si="10"/>
        <v>1.558899722536462</v>
      </c>
    </row>
    <row r="169" spans="1:9">
      <c r="A169">
        <v>3.5161218339999998</v>
      </c>
      <c r="B169">
        <v>16.366822890000002</v>
      </c>
      <c r="C169">
        <f t="shared" si="8"/>
        <v>12.850701056000002</v>
      </c>
      <c r="D169">
        <f t="shared" si="9"/>
        <v>3.6547940209969423</v>
      </c>
      <c r="G169">
        <v>1.2573586305308926</v>
      </c>
      <c r="H169">
        <v>2.7952562913006593</v>
      </c>
      <c r="I169">
        <f t="shared" si="10"/>
        <v>1.5378976607697668</v>
      </c>
    </row>
    <row r="170" spans="1:9">
      <c r="A170">
        <v>1.156206595</v>
      </c>
      <c r="B170">
        <v>10.98854474</v>
      </c>
      <c r="C170">
        <f t="shared" si="8"/>
        <v>9.8323381449999996</v>
      </c>
      <c r="D170">
        <f t="shared" si="9"/>
        <v>8.5039630352566871</v>
      </c>
      <c r="G170">
        <v>0.14514446968041531</v>
      </c>
      <c r="H170">
        <v>2.3968533429051662</v>
      </c>
      <c r="I170">
        <f t="shared" si="10"/>
        <v>2.251708873224751</v>
      </c>
    </row>
    <row r="171" spans="1:9">
      <c r="A171">
        <v>6.1877852999999997E-2</v>
      </c>
      <c r="B171">
        <v>0.49288258699999998</v>
      </c>
      <c r="C171">
        <f t="shared" si="8"/>
        <v>0.431004734</v>
      </c>
      <c r="D171">
        <f t="shared" si="9"/>
        <v>6.9654119059366852</v>
      </c>
      <c r="G171">
        <v>-2.7825929500653652</v>
      </c>
      <c r="H171">
        <v>-0.70748429354750908</v>
      </c>
      <c r="I171">
        <f t="shared" si="10"/>
        <v>2.0751086565178563</v>
      </c>
    </row>
    <row r="172" spans="1:9">
      <c r="A172">
        <v>0.11730286099999999</v>
      </c>
      <c r="B172">
        <v>0.79263939000000005</v>
      </c>
      <c r="C172">
        <f t="shared" si="8"/>
        <v>0.67533652900000007</v>
      </c>
      <c r="D172">
        <f t="shared" si="9"/>
        <v>5.7572042424438408</v>
      </c>
      <c r="G172">
        <v>-2.1429961331683165</v>
      </c>
      <c r="H172">
        <v>-0.23238690226157563</v>
      </c>
      <c r="I172">
        <f t="shared" si="10"/>
        <v>1.9106092309067408</v>
      </c>
    </row>
    <row r="173" spans="1:9">
      <c r="A173">
        <v>0.52462395299999998</v>
      </c>
      <c r="B173">
        <v>4.8002438209999996</v>
      </c>
      <c r="C173">
        <f t="shared" si="8"/>
        <v>4.2756198679999997</v>
      </c>
      <c r="D173">
        <f t="shared" si="9"/>
        <v>8.1498754365872426</v>
      </c>
      <c r="G173">
        <v>-0.64507355304159586</v>
      </c>
      <c r="H173">
        <v>1.5686667126654366</v>
      </c>
      <c r="I173">
        <f t="shared" si="10"/>
        <v>2.2137402657070324</v>
      </c>
    </row>
    <row r="174" spans="1:9">
      <c r="A174">
        <v>0.12688816</v>
      </c>
      <c r="B174">
        <v>1.104610106</v>
      </c>
      <c r="C174">
        <f t="shared" si="8"/>
        <v>0.97772194599999995</v>
      </c>
      <c r="D174">
        <f t="shared" si="9"/>
        <v>7.7053835913453232</v>
      </c>
      <c r="G174">
        <v>-2.0644492104271306</v>
      </c>
      <c r="H174">
        <v>9.9492427456315591E-2</v>
      </c>
      <c r="I174">
        <f t="shared" si="10"/>
        <v>2.163941637883446</v>
      </c>
    </row>
    <row r="175" spans="1:9">
      <c r="A175">
        <v>0.16809305899999999</v>
      </c>
      <c r="B175">
        <v>2.2219316930000002</v>
      </c>
      <c r="C175">
        <f t="shared" si="8"/>
        <v>2.0538386340000003</v>
      </c>
      <c r="D175">
        <f t="shared" si="9"/>
        <v>12.218461881879373</v>
      </c>
      <c r="G175">
        <v>-1.7832375303183345</v>
      </c>
      <c r="H175">
        <v>0.79837694952079474</v>
      </c>
      <c r="I175">
        <f t="shared" si="10"/>
        <v>2.5816144798391294</v>
      </c>
    </row>
    <row r="176" spans="1:9">
      <c r="A176">
        <v>0.93143621899999995</v>
      </c>
      <c r="B176">
        <v>14.861282810000001</v>
      </c>
      <c r="C176">
        <f t="shared" si="8"/>
        <v>13.929846591</v>
      </c>
      <c r="D176">
        <f t="shared" si="9"/>
        <v>14.955233978291327</v>
      </c>
      <c r="G176">
        <v>-7.1027562567636329E-2</v>
      </c>
      <c r="H176">
        <v>2.6987593619432482</v>
      </c>
      <c r="I176">
        <f t="shared" si="10"/>
        <v>2.7697869245108846</v>
      </c>
    </row>
    <row r="177" spans="1:9">
      <c r="A177">
        <v>0.31804352000000002</v>
      </c>
      <c r="B177">
        <v>5.2937525059999997</v>
      </c>
      <c r="C177">
        <f t="shared" si="8"/>
        <v>4.9757089859999999</v>
      </c>
      <c r="D177">
        <f t="shared" si="9"/>
        <v>15.644742537121962</v>
      </c>
      <c r="G177">
        <v>-1.1455670502198867</v>
      </c>
      <c r="H177">
        <v>1.6665273528065452</v>
      </c>
      <c r="I177">
        <f t="shared" si="10"/>
        <v>2.8120944030264319</v>
      </c>
    </row>
    <row r="178" spans="1:9">
      <c r="A178">
        <v>0.18653773200000001</v>
      </c>
      <c r="B178">
        <v>2.5182633320000001</v>
      </c>
      <c r="C178">
        <f t="shared" si="8"/>
        <v>2.3317256</v>
      </c>
      <c r="D178">
        <f t="shared" si="9"/>
        <v>12.500021175340546</v>
      </c>
      <c r="G178">
        <v>-1.679121744007573</v>
      </c>
      <c r="H178">
        <v>0.92356950997932485</v>
      </c>
      <c r="I178">
        <f t="shared" si="10"/>
        <v>2.6026912539868978</v>
      </c>
    </row>
    <row r="179" spans="1:9">
      <c r="A179">
        <v>0.14956794900000001</v>
      </c>
      <c r="B179">
        <v>1.1814975299999999</v>
      </c>
      <c r="C179">
        <f t="shared" si="8"/>
        <v>1.031929581</v>
      </c>
      <c r="D179">
        <f t="shared" si="9"/>
        <v>6.8994031669178</v>
      </c>
      <c r="G179">
        <v>-1.9000044810478307</v>
      </c>
      <c r="H179">
        <v>0.16678272707979633</v>
      </c>
      <c r="I179">
        <f t="shared" si="10"/>
        <v>2.0667872081276268</v>
      </c>
    </row>
    <row r="180" spans="1:9">
      <c r="A180">
        <v>0.32298600799999999</v>
      </c>
      <c r="B180">
        <v>4.6274789109999999</v>
      </c>
      <c r="C180">
        <f t="shared" si="8"/>
        <v>4.3044929029999999</v>
      </c>
      <c r="D180">
        <f t="shared" si="9"/>
        <v>13.327180733476231</v>
      </c>
      <c r="G180">
        <v>-1.1301462755832195</v>
      </c>
      <c r="H180">
        <v>1.5320122081347636</v>
      </c>
      <c r="I180">
        <f t="shared" si="10"/>
        <v>2.6621584837179828</v>
      </c>
    </row>
    <row r="181" spans="1:9">
      <c r="A181">
        <v>1.7242786400000001</v>
      </c>
      <c r="B181">
        <v>12.1957583</v>
      </c>
      <c r="C181">
        <f t="shared" si="8"/>
        <v>10.47147966</v>
      </c>
      <c r="D181">
        <f t="shared" si="9"/>
        <v>6.0729625810362062</v>
      </c>
      <c r="G181">
        <v>0.54480878331165927</v>
      </c>
      <c r="H181">
        <v>2.5010882109565236</v>
      </c>
      <c r="I181">
        <f t="shared" si="10"/>
        <v>1.9562794276448643</v>
      </c>
    </row>
    <row r="182" spans="1:9">
      <c r="A182">
        <v>1.8408709240000001</v>
      </c>
      <c r="B182">
        <v>4.1698010759999997</v>
      </c>
      <c r="C182">
        <f t="shared" si="8"/>
        <v>2.3289301519999999</v>
      </c>
      <c r="D182">
        <f t="shared" si="9"/>
        <v>1.2651240897104852</v>
      </c>
      <c r="G182">
        <v>0.61023878789727815</v>
      </c>
      <c r="H182">
        <v>1.427868331075735</v>
      </c>
      <c r="I182">
        <f t="shared" si="10"/>
        <v>0.81762954317845682</v>
      </c>
    </row>
    <row r="183" spans="1:9">
      <c r="A183">
        <v>2.7961042009999999</v>
      </c>
      <c r="B183">
        <v>39.271048530000002</v>
      </c>
      <c r="C183">
        <f t="shared" si="8"/>
        <v>36.474944329000003</v>
      </c>
      <c r="D183">
        <f t="shared" si="9"/>
        <v>13.044915964131484</v>
      </c>
      <c r="G183">
        <v>1.0282270915598231</v>
      </c>
      <c r="H183">
        <v>3.6704875687682246</v>
      </c>
      <c r="I183">
        <f t="shared" si="10"/>
        <v>2.6422604772084015</v>
      </c>
    </row>
    <row r="184" spans="1:9">
      <c r="A184">
        <v>1.1108170420000001</v>
      </c>
      <c r="B184">
        <v>47.53628604</v>
      </c>
      <c r="C184">
        <f t="shared" si="8"/>
        <v>46.425468997999999</v>
      </c>
      <c r="D184">
        <f t="shared" si="9"/>
        <v>41.793983385789645</v>
      </c>
      <c r="G184">
        <v>0.10509581842860559</v>
      </c>
      <c r="H184">
        <v>3.8614933360363786</v>
      </c>
      <c r="I184">
        <f t="shared" si="10"/>
        <v>3.7563975176077729</v>
      </c>
    </row>
    <row r="185" spans="1:9">
      <c r="A185">
        <v>2.110071214</v>
      </c>
      <c r="B185">
        <v>16.680236709999999</v>
      </c>
      <c r="C185">
        <f t="shared" si="8"/>
        <v>14.570165496</v>
      </c>
      <c r="D185">
        <f t="shared" si="9"/>
        <v>6.9050586536270337</v>
      </c>
      <c r="G185">
        <v>0.74672169762933316</v>
      </c>
      <c r="H185">
        <v>2.8142245880769083</v>
      </c>
      <c r="I185">
        <f t="shared" si="10"/>
        <v>2.0675028904475754</v>
      </c>
    </row>
    <row r="186" spans="1:9">
      <c r="A186">
        <v>0.32648937300000003</v>
      </c>
      <c r="B186">
        <v>3.266044612</v>
      </c>
      <c r="C186">
        <f t="shared" si="8"/>
        <v>2.9395552389999997</v>
      </c>
      <c r="D186">
        <f t="shared" si="9"/>
        <v>9.003525021318227</v>
      </c>
      <c r="G186">
        <v>-1.119357879034254</v>
      </c>
      <c r="H186">
        <v>1.1835796539773344</v>
      </c>
      <c r="I186">
        <f t="shared" si="10"/>
        <v>2.3029375330115887</v>
      </c>
    </row>
    <row r="187" spans="1:9">
      <c r="A187">
        <v>1.0151768720000001</v>
      </c>
      <c r="B187">
        <v>25.73605319</v>
      </c>
      <c r="C187">
        <f t="shared" si="8"/>
        <v>24.720876317999998</v>
      </c>
      <c r="D187">
        <f t="shared" si="9"/>
        <v>24.351299758531137</v>
      </c>
      <c r="G187">
        <v>1.5062855440645539E-2</v>
      </c>
      <c r="H187">
        <v>3.2478928566893299</v>
      </c>
      <c r="I187">
        <f t="shared" si="10"/>
        <v>3.2328300012486846</v>
      </c>
    </row>
    <row r="188" spans="1:9">
      <c r="A188">
        <v>3.1492719400000002</v>
      </c>
      <c r="B188">
        <v>73.401978779999993</v>
      </c>
      <c r="C188">
        <f t="shared" si="8"/>
        <v>70.252706839999988</v>
      </c>
      <c r="D188">
        <f t="shared" si="9"/>
        <v>22.307602575597198</v>
      </c>
      <c r="G188">
        <v>1.14717129596412</v>
      </c>
      <c r="H188">
        <v>4.2959508941126723</v>
      </c>
      <c r="I188">
        <f t="shared" si="10"/>
        <v>3.1487795981485522</v>
      </c>
    </row>
    <row r="189" spans="1:9">
      <c r="A189">
        <v>5.1517570460000002</v>
      </c>
      <c r="B189">
        <v>32.996589329999999</v>
      </c>
      <c r="C189">
        <f t="shared" si="8"/>
        <v>27.844832283999999</v>
      </c>
      <c r="D189">
        <f t="shared" si="9"/>
        <v>5.4049195323796715</v>
      </c>
      <c r="G189">
        <v>1.6393378304696189</v>
      </c>
      <c r="H189">
        <v>3.4964042024887614</v>
      </c>
      <c r="I189">
        <f t="shared" si="10"/>
        <v>1.8570663720191425</v>
      </c>
    </row>
    <row r="190" spans="1:9">
      <c r="A190">
        <v>3.1991267400000001</v>
      </c>
      <c r="B190">
        <v>15.12498609</v>
      </c>
      <c r="C190">
        <f t="shared" si="8"/>
        <v>11.92585935</v>
      </c>
      <c r="D190">
        <f t="shared" si="9"/>
        <v>3.7278483533915883</v>
      </c>
      <c r="G190">
        <v>1.162877878813406</v>
      </c>
      <c r="H190">
        <v>2.7163480842470609</v>
      </c>
      <c r="I190">
        <f t="shared" si="10"/>
        <v>1.5534702054336549</v>
      </c>
    </row>
    <row r="191" spans="1:9">
      <c r="A191">
        <v>19.394452269999999</v>
      </c>
      <c r="B191">
        <v>43.8258115</v>
      </c>
      <c r="C191">
        <f t="shared" si="8"/>
        <v>24.431359230000002</v>
      </c>
      <c r="D191">
        <f t="shared" si="9"/>
        <v>1.2597086470851906</v>
      </c>
      <c r="G191">
        <v>2.9649870597094448</v>
      </c>
      <c r="H191">
        <v>3.780222947464158</v>
      </c>
      <c r="I191">
        <f t="shared" si="10"/>
        <v>0.81523588775471323</v>
      </c>
    </row>
    <row r="192" spans="1:9">
      <c r="A192">
        <v>1.207103185</v>
      </c>
      <c r="B192">
        <v>2.423096165</v>
      </c>
      <c r="C192">
        <f t="shared" si="8"/>
        <v>1.21599298</v>
      </c>
      <c r="D192">
        <f t="shared" si="9"/>
        <v>1.0073645692517992</v>
      </c>
      <c r="G192">
        <v>0.18822342727667835</v>
      </c>
      <c r="H192">
        <v>0.88504612944963135</v>
      </c>
      <c r="I192">
        <f t="shared" si="10"/>
        <v>0.69682270217295295</v>
      </c>
    </row>
    <row r="193" spans="1:9">
      <c r="A193">
        <v>0.47837887000000001</v>
      </c>
      <c r="B193">
        <v>2.8031039569999998</v>
      </c>
      <c r="C193">
        <f t="shared" si="8"/>
        <v>2.324725087</v>
      </c>
      <c r="D193">
        <f t="shared" si="9"/>
        <v>4.8595898205119301</v>
      </c>
      <c r="G193">
        <v>-0.73735224538135324</v>
      </c>
      <c r="H193">
        <v>1.0307273592580279</v>
      </c>
      <c r="I193">
        <f t="shared" si="10"/>
        <v>1.7680796046393812</v>
      </c>
    </row>
    <row r="194" spans="1:9">
      <c r="A194">
        <v>0.275813904</v>
      </c>
      <c r="B194">
        <v>1.4164618229999999</v>
      </c>
      <c r="C194">
        <f t="shared" si="8"/>
        <v>1.1406479189999998</v>
      </c>
      <c r="D194">
        <f t="shared" si="9"/>
        <v>4.1355707687600836</v>
      </c>
      <c r="G194">
        <v>-1.2880289015506434</v>
      </c>
      <c r="H194">
        <v>0.34816208828386253</v>
      </c>
      <c r="I194">
        <f t="shared" si="10"/>
        <v>1.6361909898345059</v>
      </c>
    </row>
    <row r="195" spans="1:9">
      <c r="A195">
        <v>0.17428069299999999</v>
      </c>
      <c r="B195">
        <v>1.7018443919999999</v>
      </c>
      <c r="C195">
        <f t="shared" ref="C195:C199" si="11">B195-A195</f>
        <v>1.5275636989999999</v>
      </c>
      <c r="D195">
        <f t="shared" ref="D195:D199" si="12">C195/A195</f>
        <v>8.7649622726712479</v>
      </c>
      <c r="G195">
        <v>-1.7470881013809207</v>
      </c>
      <c r="H195">
        <v>0.5317125994145282</v>
      </c>
      <c r="I195">
        <f t="shared" ref="I195:I199" si="13">H195-G195</f>
        <v>2.2788007007954487</v>
      </c>
    </row>
    <row r="196" spans="1:9">
      <c r="A196">
        <v>1.0307023529999999</v>
      </c>
      <c r="B196">
        <v>2.3927565909999999</v>
      </c>
      <c r="C196">
        <f t="shared" si="11"/>
        <v>1.362054238</v>
      </c>
      <c r="D196">
        <f t="shared" si="12"/>
        <v>1.3214816421399982</v>
      </c>
      <c r="G196">
        <v>3.0240465972528167E-2</v>
      </c>
      <c r="H196">
        <v>0.87244608666118517</v>
      </c>
      <c r="I196">
        <f t="shared" si="13"/>
        <v>0.84220562068865701</v>
      </c>
    </row>
    <row r="197" spans="1:9">
      <c r="A197">
        <v>3.8929664640000001</v>
      </c>
      <c r="B197">
        <v>13.647984490000001</v>
      </c>
      <c r="C197">
        <f t="shared" si="11"/>
        <v>9.7550180260000001</v>
      </c>
      <c r="D197">
        <f t="shared" si="12"/>
        <v>2.505805820884667</v>
      </c>
      <c r="G197">
        <v>1.3591714541550468</v>
      </c>
      <c r="H197">
        <v>2.6135918543184316</v>
      </c>
      <c r="I197">
        <f t="shared" si="13"/>
        <v>1.2544204001633847</v>
      </c>
    </row>
    <row r="198" spans="1:9">
      <c r="A198">
        <v>3.558421542</v>
      </c>
      <c r="B198">
        <v>104.9486038</v>
      </c>
      <c r="C198">
        <f t="shared" si="11"/>
        <v>101.390182258</v>
      </c>
      <c r="D198">
        <f t="shared" si="12"/>
        <v>28.493021712378109</v>
      </c>
      <c r="G198">
        <v>1.2693170594601715</v>
      </c>
      <c r="H198">
        <v>4.6534707427003035</v>
      </c>
      <c r="I198">
        <f t="shared" si="13"/>
        <v>3.384153683240132</v>
      </c>
    </row>
    <row r="199" spans="1:9">
      <c r="A199">
        <v>3.6279836759999999</v>
      </c>
      <c r="B199">
        <v>6.6283016720000001</v>
      </c>
      <c r="C199">
        <f t="shared" si="11"/>
        <v>3.0003179960000002</v>
      </c>
      <c r="D199">
        <f t="shared" si="12"/>
        <v>0.82699324582076761</v>
      </c>
      <c r="G199">
        <v>1.2886770327940356</v>
      </c>
      <c r="H199">
        <v>1.8913486133143074</v>
      </c>
      <c r="I199">
        <f t="shared" si="13"/>
        <v>0.60267158052027181</v>
      </c>
    </row>
  </sheetData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F59B-A843-4970-B11C-6D420D4E1672}">
  <dimension ref="A1:K199"/>
  <sheetViews>
    <sheetView tabSelected="1" topLeftCell="A180" workbookViewId="0">
      <selection sqref="A1:K199"/>
    </sheetView>
  </sheetViews>
  <sheetFormatPr defaultRowHeight="23"/>
  <cols>
    <col min="1" max="1" width="7.3671875" style="3" bestFit="1" customWidth="1"/>
    <col min="2" max="2" width="5.15625" style="3" bestFit="1" customWidth="1"/>
    <col min="3" max="3" width="7.47265625" style="6" bestFit="1" customWidth="1"/>
    <col min="4" max="4" width="6.3125" style="9" bestFit="1" customWidth="1"/>
    <col min="5" max="5" width="7.20703125" style="6" bestFit="1" customWidth="1"/>
    <col min="6" max="6" width="7.05078125" style="9" bestFit="1" customWidth="1"/>
    <col min="7" max="7" width="7.20703125" style="6" bestFit="1" customWidth="1"/>
    <col min="8" max="8" width="5.41796875" style="9" bestFit="1" customWidth="1"/>
    <col min="9" max="11" width="7.20703125" style="6" bestFit="1" customWidth="1"/>
  </cols>
  <sheetData>
    <row r="1" spans="1:11" ht="22.5">
      <c r="A1" s="1" t="s">
        <v>0</v>
      </c>
      <c r="B1" s="1" t="s">
        <v>1</v>
      </c>
      <c r="C1" s="4" t="s">
        <v>238</v>
      </c>
      <c r="D1" s="7" t="s">
        <v>3</v>
      </c>
      <c r="E1" s="4" t="s">
        <v>4</v>
      </c>
      <c r="F1" s="7" t="s">
        <v>5</v>
      </c>
      <c r="G1" s="4" t="s">
        <v>6</v>
      </c>
      <c r="H1" s="7" t="s">
        <v>7</v>
      </c>
      <c r="I1" s="4" t="s">
        <v>8</v>
      </c>
      <c r="J1" s="4" t="s">
        <v>235</v>
      </c>
      <c r="K1" s="4" t="s">
        <v>10</v>
      </c>
    </row>
    <row r="2" spans="1:11" ht="22.5">
      <c r="A2" s="2" t="s">
        <v>11</v>
      </c>
      <c r="B2" s="2" t="s">
        <v>12</v>
      </c>
      <c r="C2" s="5">
        <v>0.168453716</v>
      </c>
      <c r="D2" s="8">
        <v>181</v>
      </c>
      <c r="E2" s="5">
        <v>135.50195980000001</v>
      </c>
      <c r="F2" s="8">
        <v>14575</v>
      </c>
      <c r="G2" s="5">
        <v>1172.2437809999999</v>
      </c>
      <c r="H2" s="8">
        <v>201</v>
      </c>
      <c r="I2" s="5">
        <v>0.28815221499999999</v>
      </c>
      <c r="J2" s="5">
        <v>1.9738876729999999</v>
      </c>
      <c r="K2" s="5">
        <v>2.770583588</v>
      </c>
    </row>
    <row r="3" spans="1:11" ht="22.5">
      <c r="A3" s="2" t="s">
        <v>13</v>
      </c>
      <c r="B3" s="2" t="s">
        <v>12</v>
      </c>
      <c r="C3" s="5">
        <v>0.228179774</v>
      </c>
      <c r="D3" s="8">
        <v>654</v>
      </c>
      <c r="E3" s="5">
        <v>268.94471069999997</v>
      </c>
      <c r="F3" s="8">
        <v>14419</v>
      </c>
      <c r="G3" s="5">
        <v>992.30161559999999</v>
      </c>
      <c r="H3" s="8">
        <v>641</v>
      </c>
      <c r="I3" s="5">
        <v>0.272529403</v>
      </c>
      <c r="J3" s="5">
        <v>13.597248240000001</v>
      </c>
      <c r="K3" s="5">
        <v>77.859411059999999</v>
      </c>
    </row>
    <row r="4" spans="1:11" ht="22.5">
      <c r="A4" s="2" t="s">
        <v>14</v>
      </c>
      <c r="B4" s="2" t="s">
        <v>12</v>
      </c>
      <c r="C4" s="5">
        <v>0.25159323500000003</v>
      </c>
      <c r="D4" s="8">
        <v>679</v>
      </c>
      <c r="E4" s="5">
        <v>583.35234539999999</v>
      </c>
      <c r="F4" s="8">
        <v>37658</v>
      </c>
      <c r="G4" s="5">
        <v>2727.5922220000002</v>
      </c>
      <c r="H4" s="8">
        <v>1334</v>
      </c>
      <c r="I4" s="5">
        <v>0.49944792399999999</v>
      </c>
      <c r="J4" s="5">
        <v>0.73360864199999998</v>
      </c>
      <c r="K4" s="5">
        <v>10.05108697</v>
      </c>
    </row>
    <row r="5" spans="1:11" ht="22.5">
      <c r="A5" s="2" t="s">
        <v>15</v>
      </c>
      <c r="B5" s="2" t="s">
        <v>12</v>
      </c>
      <c r="C5" s="5">
        <v>0.211549979</v>
      </c>
      <c r="D5" s="8">
        <v>633</v>
      </c>
      <c r="E5" s="5">
        <v>328.8120768</v>
      </c>
      <c r="F5" s="8">
        <v>11253</v>
      </c>
      <c r="G5" s="5">
        <v>1290.898848</v>
      </c>
      <c r="H5" s="8">
        <v>517</v>
      </c>
      <c r="I5" s="5">
        <v>0.37235197199999998</v>
      </c>
      <c r="J5" s="5">
        <v>0.97728331999999996</v>
      </c>
      <c r="K5" s="5">
        <v>1.6281955299999999</v>
      </c>
    </row>
    <row r="6" spans="1:11" ht="22.5">
      <c r="A6" s="2" t="s">
        <v>16</v>
      </c>
      <c r="B6" s="2" t="s">
        <v>12</v>
      </c>
      <c r="C6" s="5">
        <v>0.19333484500000001</v>
      </c>
      <c r="D6" s="8">
        <v>451</v>
      </c>
      <c r="E6" s="5">
        <v>232.15952340000001</v>
      </c>
      <c r="F6" s="8">
        <v>43696</v>
      </c>
      <c r="G6" s="5">
        <v>1004.913227</v>
      </c>
      <c r="H6" s="8">
        <v>397</v>
      </c>
      <c r="I6" s="5">
        <v>0.40386074</v>
      </c>
      <c r="J6" s="5">
        <v>1.2034943250000001</v>
      </c>
      <c r="K6" s="5">
        <v>3.274719047</v>
      </c>
    </row>
    <row r="7" spans="1:11" ht="22.5">
      <c r="A7" s="2" t="s">
        <v>17</v>
      </c>
      <c r="B7" s="2" t="s">
        <v>12</v>
      </c>
      <c r="C7" s="5">
        <v>0.22055339900000001</v>
      </c>
      <c r="D7" s="8">
        <v>683</v>
      </c>
      <c r="E7" s="5">
        <v>498.32355050000001</v>
      </c>
      <c r="F7" s="8">
        <v>53612</v>
      </c>
      <c r="G7" s="5">
        <v>2403.8183709999998</v>
      </c>
      <c r="H7" s="8">
        <v>946</v>
      </c>
      <c r="I7" s="5">
        <v>0.62867943199999998</v>
      </c>
      <c r="J7" s="5">
        <v>1.5770853920000001</v>
      </c>
      <c r="K7" s="5">
        <v>47.701450250000001</v>
      </c>
    </row>
    <row r="8" spans="1:11" ht="22.5">
      <c r="A8" s="2" t="s">
        <v>18</v>
      </c>
      <c r="B8" s="2" t="s">
        <v>12</v>
      </c>
      <c r="C8" s="5">
        <v>0.219412682</v>
      </c>
      <c r="D8" s="8">
        <v>1167</v>
      </c>
      <c r="E8" s="5">
        <v>723.34849110000005</v>
      </c>
      <c r="F8" s="8">
        <v>22811</v>
      </c>
      <c r="G8" s="5">
        <v>2170.5179450000001</v>
      </c>
      <c r="H8" s="8">
        <v>1979</v>
      </c>
      <c r="I8" s="5">
        <v>0.48253710599999999</v>
      </c>
      <c r="J8" s="5">
        <v>2.0172460270000001</v>
      </c>
      <c r="K8" s="5">
        <v>16.357661409999999</v>
      </c>
    </row>
    <row r="9" spans="1:11" ht="22.5">
      <c r="A9" s="2" t="s">
        <v>19</v>
      </c>
      <c r="B9" s="2" t="s">
        <v>12</v>
      </c>
      <c r="C9" s="5">
        <v>0.215444617</v>
      </c>
      <c r="D9" s="8">
        <v>857</v>
      </c>
      <c r="E9" s="5">
        <v>303.15964439999999</v>
      </c>
      <c r="F9" s="8">
        <v>25722</v>
      </c>
      <c r="G9" s="5">
        <v>1134.4408860000001</v>
      </c>
      <c r="H9" s="8">
        <v>689</v>
      </c>
      <c r="I9" s="5">
        <v>0.34431446999999998</v>
      </c>
      <c r="J9" s="5">
        <v>2.8518785019999999</v>
      </c>
      <c r="K9" s="5">
        <v>15.814046599999999</v>
      </c>
    </row>
    <row r="10" spans="1:11" ht="22.5">
      <c r="A10" s="2" t="s">
        <v>20</v>
      </c>
      <c r="B10" s="2" t="s">
        <v>12</v>
      </c>
      <c r="C10" s="5">
        <v>0.21213686000000001</v>
      </c>
      <c r="D10" s="8">
        <v>913</v>
      </c>
      <c r="E10" s="5">
        <v>443.68186539999999</v>
      </c>
      <c r="F10" s="8">
        <v>27644</v>
      </c>
      <c r="G10" s="5">
        <v>1478.4211299999999</v>
      </c>
      <c r="H10" s="8">
        <v>899</v>
      </c>
      <c r="I10" s="5">
        <v>0.43067957699999998</v>
      </c>
      <c r="J10" s="5">
        <v>1.1638149929999999</v>
      </c>
      <c r="K10" s="5">
        <v>8.7254830749999996</v>
      </c>
    </row>
    <row r="11" spans="1:11" ht="22.5">
      <c r="A11" s="2" t="s">
        <v>21</v>
      </c>
      <c r="B11" s="2" t="s">
        <v>12</v>
      </c>
      <c r="C11" s="5">
        <v>0.14065731000000001</v>
      </c>
      <c r="D11" s="8">
        <v>1469</v>
      </c>
      <c r="E11" s="5">
        <v>266.51474389999998</v>
      </c>
      <c r="F11" s="8">
        <v>21323</v>
      </c>
      <c r="G11" s="5">
        <v>348.97629749999999</v>
      </c>
      <c r="H11" s="8">
        <v>1417</v>
      </c>
      <c r="I11" s="5">
        <v>0.223414634</v>
      </c>
      <c r="J11" s="5">
        <v>9.3950768240000002</v>
      </c>
      <c r="K11" s="5">
        <v>75.596925690000006</v>
      </c>
    </row>
    <row r="12" spans="1:11" ht="22.5">
      <c r="A12" s="2" t="s">
        <v>22</v>
      </c>
      <c r="B12" s="2" t="s">
        <v>23</v>
      </c>
      <c r="C12" s="5">
        <v>0.45608617299999998</v>
      </c>
      <c r="D12" s="8">
        <v>123</v>
      </c>
      <c r="E12" s="5">
        <v>322.6397207</v>
      </c>
      <c r="F12" s="8">
        <v>84555</v>
      </c>
      <c r="G12" s="5">
        <v>22083.154869999998</v>
      </c>
      <c r="H12" s="8">
        <v>220</v>
      </c>
      <c r="I12" s="5">
        <v>0.75346185600000004</v>
      </c>
      <c r="J12" s="5">
        <v>0.65974377100000003</v>
      </c>
      <c r="K12" s="5">
        <v>6.2058346259999997</v>
      </c>
    </row>
    <row r="13" spans="1:11" ht="22.5">
      <c r="A13" s="2" t="s">
        <v>24</v>
      </c>
      <c r="B13" s="2" t="s">
        <v>23</v>
      </c>
      <c r="C13" s="5">
        <v>0.54409904099999995</v>
      </c>
      <c r="D13" s="8">
        <v>107</v>
      </c>
      <c r="E13" s="5">
        <v>272.19710379999998</v>
      </c>
      <c r="F13" s="8">
        <v>82211</v>
      </c>
      <c r="G13" s="5">
        <v>36241.730380000001</v>
      </c>
      <c r="H13" s="8">
        <v>356</v>
      </c>
      <c r="I13" s="5">
        <v>0.87079932000000004</v>
      </c>
      <c r="J13" s="5">
        <v>0.19394234900000001</v>
      </c>
      <c r="K13" s="5">
        <v>1.214694894</v>
      </c>
    </row>
    <row r="14" spans="1:11" ht="22.5">
      <c r="A14" s="2" t="s">
        <v>25</v>
      </c>
      <c r="B14" s="2" t="s">
        <v>23</v>
      </c>
      <c r="C14" s="5">
        <v>0.60632591499999999</v>
      </c>
      <c r="D14" s="8">
        <v>82</v>
      </c>
      <c r="E14" s="5">
        <v>268.84750960000002</v>
      </c>
      <c r="F14" s="8">
        <v>77610</v>
      </c>
      <c r="G14" s="5">
        <v>40449.372530000001</v>
      </c>
      <c r="H14" s="8">
        <v>447</v>
      </c>
      <c r="I14" s="5">
        <v>0.88748596899999999</v>
      </c>
      <c r="J14" s="5">
        <v>0.88869907999999997</v>
      </c>
      <c r="K14" s="5">
        <v>15.27913579</v>
      </c>
    </row>
    <row r="15" spans="1:11" ht="22.5">
      <c r="A15" s="2" t="s">
        <v>26</v>
      </c>
      <c r="B15" s="2" t="s">
        <v>23</v>
      </c>
      <c r="C15" s="5">
        <v>0.47639817299999998</v>
      </c>
      <c r="D15" s="8">
        <v>96</v>
      </c>
      <c r="E15" s="5">
        <v>314.27992849999998</v>
      </c>
      <c r="F15" s="8">
        <v>76356</v>
      </c>
      <c r="G15" s="5">
        <v>34234.933810000002</v>
      </c>
      <c r="H15" s="8">
        <v>485</v>
      </c>
      <c r="I15" s="5">
        <v>0.82035206999999999</v>
      </c>
      <c r="J15" s="5">
        <v>1.3039440360000001</v>
      </c>
      <c r="K15" s="5">
        <v>15.483814150000001</v>
      </c>
    </row>
    <row r="16" spans="1:11" ht="22.5">
      <c r="A16" s="2" t="s">
        <v>27</v>
      </c>
      <c r="B16" s="2" t="s">
        <v>28</v>
      </c>
      <c r="C16" s="5">
        <v>0.10650770499999999</v>
      </c>
      <c r="D16" s="8">
        <v>174</v>
      </c>
      <c r="E16" s="5">
        <v>93.976451080000004</v>
      </c>
      <c r="F16" s="8">
        <v>16428</v>
      </c>
      <c r="G16" s="5">
        <v>614.52580190000003</v>
      </c>
      <c r="H16" s="8">
        <v>276</v>
      </c>
      <c r="I16" s="5">
        <v>0.376562756</v>
      </c>
      <c r="J16" s="5">
        <v>0.67451679200000003</v>
      </c>
      <c r="K16" s="5">
        <v>56.07033534</v>
      </c>
    </row>
    <row r="17" spans="1:11" ht="22.5">
      <c r="A17" s="2" t="s">
        <v>29</v>
      </c>
      <c r="B17" s="2" t="s">
        <v>28</v>
      </c>
      <c r="C17" s="5">
        <v>0.24275382600000001</v>
      </c>
      <c r="D17" s="8">
        <v>498</v>
      </c>
      <c r="E17" s="5">
        <v>373.84758629999999</v>
      </c>
      <c r="F17" s="8">
        <v>43166</v>
      </c>
      <c r="G17" s="5">
        <v>2904.2490509999998</v>
      </c>
      <c r="H17" s="8">
        <v>636</v>
      </c>
      <c r="I17" s="5">
        <v>0.67339529099999995</v>
      </c>
      <c r="J17" s="5">
        <v>1.031344196</v>
      </c>
      <c r="K17" s="5">
        <v>9.3916066610000009</v>
      </c>
    </row>
    <row r="18" spans="1:11" ht="22.5">
      <c r="A18" s="2" t="s">
        <v>30</v>
      </c>
      <c r="B18" s="2" t="s">
        <v>28</v>
      </c>
      <c r="C18" s="5">
        <v>0.24969312699999999</v>
      </c>
      <c r="D18" s="8">
        <v>391</v>
      </c>
      <c r="E18" s="5">
        <v>200.0773954</v>
      </c>
      <c r="F18" s="8">
        <v>22226</v>
      </c>
      <c r="G18" s="5">
        <v>2386.2635770000002</v>
      </c>
      <c r="H18" s="8">
        <v>595</v>
      </c>
      <c r="I18" s="5">
        <v>0.60784121899999999</v>
      </c>
      <c r="J18" s="5">
        <v>2.5533767570000001</v>
      </c>
      <c r="K18" s="5">
        <v>12.429830129999999</v>
      </c>
    </row>
    <row r="19" spans="1:11" ht="22.5">
      <c r="A19" s="2" t="s">
        <v>31</v>
      </c>
      <c r="B19" s="2" t="s">
        <v>28</v>
      </c>
      <c r="C19" s="5">
        <v>0.122145189</v>
      </c>
      <c r="D19" s="8">
        <v>314</v>
      </c>
      <c r="E19" s="5">
        <v>126.96608089999999</v>
      </c>
      <c r="F19" s="8">
        <v>18874</v>
      </c>
      <c r="G19" s="5">
        <v>644.13505910000003</v>
      </c>
      <c r="H19" s="8">
        <v>433</v>
      </c>
      <c r="I19" s="5">
        <v>0.33581704800000001</v>
      </c>
      <c r="J19" s="5">
        <v>10.42603284</v>
      </c>
      <c r="K19" s="5">
        <v>15.024519850000001</v>
      </c>
    </row>
    <row r="20" spans="1:11" ht="22.5">
      <c r="A20" s="2" t="s">
        <v>32</v>
      </c>
      <c r="B20" s="2" t="s">
        <v>28</v>
      </c>
      <c r="C20" s="5">
        <v>0.19657472000000001</v>
      </c>
      <c r="D20" s="8">
        <v>1528</v>
      </c>
      <c r="E20" s="5">
        <v>502.91064640000002</v>
      </c>
      <c r="F20" s="8">
        <v>28422</v>
      </c>
      <c r="G20" s="5">
        <v>1441.9021399999999</v>
      </c>
      <c r="H20" s="8">
        <v>2054</v>
      </c>
      <c r="I20" s="5">
        <v>0.62119392600000001</v>
      </c>
      <c r="J20" s="5">
        <v>1.8788655590000001</v>
      </c>
      <c r="K20" s="5">
        <v>24.780406580000001</v>
      </c>
    </row>
    <row r="21" spans="1:11" ht="22.5">
      <c r="A21" s="2" t="s">
        <v>33</v>
      </c>
      <c r="B21" s="2" t="s">
        <v>28</v>
      </c>
      <c r="C21" s="5">
        <v>0.13796803999999999</v>
      </c>
      <c r="D21" s="8">
        <v>730</v>
      </c>
      <c r="E21" s="5">
        <v>137.86184510000001</v>
      </c>
      <c r="F21" s="8">
        <v>17924</v>
      </c>
      <c r="G21" s="5">
        <v>340.23302109999997</v>
      </c>
      <c r="H21" s="8">
        <v>1005</v>
      </c>
      <c r="I21" s="5">
        <v>0.40478421799999997</v>
      </c>
      <c r="J21" s="5">
        <v>8.0873899859999998</v>
      </c>
      <c r="K21" s="5">
        <v>40.170643650000002</v>
      </c>
    </row>
    <row r="22" spans="1:11" ht="22.5">
      <c r="A22" s="2" t="s">
        <v>34</v>
      </c>
      <c r="B22" s="2" t="s">
        <v>28</v>
      </c>
      <c r="C22" s="5">
        <v>0.28280044500000001</v>
      </c>
      <c r="D22" s="8">
        <v>313</v>
      </c>
      <c r="E22" s="5">
        <v>313.67474959999998</v>
      </c>
      <c r="F22" s="8">
        <v>27828</v>
      </c>
      <c r="G22" s="5">
        <v>4324.7017900000001</v>
      </c>
      <c r="H22" s="8">
        <v>489</v>
      </c>
      <c r="I22" s="5">
        <v>0.62907376800000003</v>
      </c>
      <c r="J22" s="5">
        <v>0.78200761299999999</v>
      </c>
      <c r="K22" s="5">
        <v>17.669845890000001</v>
      </c>
    </row>
    <row r="23" spans="1:11" ht="22.5">
      <c r="A23" s="2" t="s">
        <v>35</v>
      </c>
      <c r="B23" s="2" t="s">
        <v>28</v>
      </c>
      <c r="C23" s="5">
        <v>0.22737278699999999</v>
      </c>
      <c r="D23" s="8">
        <v>608</v>
      </c>
      <c r="E23" s="5">
        <v>406.70930429999999</v>
      </c>
      <c r="F23" s="8">
        <v>29947</v>
      </c>
      <c r="G23" s="5">
        <v>2480.193385</v>
      </c>
      <c r="H23" s="8">
        <v>1819</v>
      </c>
      <c r="I23" s="5">
        <v>0.69835525200000004</v>
      </c>
      <c r="J23" s="5">
        <v>1.657906839</v>
      </c>
      <c r="K23" s="5">
        <v>19.33608941</v>
      </c>
    </row>
    <row r="24" spans="1:11" ht="22.5">
      <c r="A24" s="2" t="s">
        <v>36</v>
      </c>
      <c r="B24" s="2" t="s">
        <v>28</v>
      </c>
      <c r="C24" s="5">
        <v>0.38753025699999999</v>
      </c>
      <c r="D24" s="8">
        <v>121</v>
      </c>
      <c r="E24" s="5">
        <v>472.24281050000002</v>
      </c>
      <c r="F24" s="8">
        <v>41044</v>
      </c>
      <c r="G24" s="5">
        <v>23616.043959999999</v>
      </c>
      <c r="H24" s="8">
        <v>432</v>
      </c>
      <c r="I24" s="5">
        <v>0.81318866400000001</v>
      </c>
      <c r="J24" s="5">
        <v>2.21163636</v>
      </c>
      <c r="K24" s="5">
        <v>10.25251145</v>
      </c>
    </row>
    <row r="25" spans="1:11" ht="22.5">
      <c r="A25" s="2" t="s">
        <v>37</v>
      </c>
      <c r="B25" s="2" t="s">
        <v>28</v>
      </c>
      <c r="C25" s="5">
        <v>0.20886318200000001</v>
      </c>
      <c r="D25" s="8">
        <v>648</v>
      </c>
      <c r="E25" s="5">
        <v>401.33313029999999</v>
      </c>
      <c r="F25" s="8">
        <v>43644</v>
      </c>
      <c r="G25" s="5">
        <v>1818.957658</v>
      </c>
      <c r="H25" s="8">
        <v>783</v>
      </c>
      <c r="I25" s="5">
        <v>0.53748670399999998</v>
      </c>
      <c r="J25" s="5">
        <v>1.2056724539999999</v>
      </c>
      <c r="K25" s="5">
        <v>14.562459479999999</v>
      </c>
    </row>
    <row r="26" spans="1:11" ht="22.5">
      <c r="A26" s="2" t="s">
        <v>38</v>
      </c>
      <c r="B26" s="2" t="s">
        <v>39</v>
      </c>
      <c r="C26" s="5">
        <v>0.20308322600000001</v>
      </c>
      <c r="D26" s="8">
        <v>930</v>
      </c>
      <c r="E26" s="5">
        <v>192.3303976</v>
      </c>
      <c r="F26" s="8">
        <v>14807</v>
      </c>
      <c r="G26" s="5">
        <v>893.20997920000002</v>
      </c>
      <c r="H26" s="8">
        <v>572</v>
      </c>
      <c r="I26" s="5">
        <v>0.30322788299999998</v>
      </c>
      <c r="J26" s="5">
        <v>1.7494747289999999</v>
      </c>
      <c r="K26" s="5">
        <v>20.49573182</v>
      </c>
    </row>
    <row r="27" spans="1:11" ht="22.5">
      <c r="A27" s="2" t="s">
        <v>40</v>
      </c>
      <c r="B27" s="2" t="s">
        <v>39</v>
      </c>
      <c r="C27" s="5">
        <v>0.17102551899999999</v>
      </c>
      <c r="D27" s="8">
        <v>686</v>
      </c>
      <c r="E27" s="5">
        <v>135.8232174</v>
      </c>
      <c r="F27" s="8">
        <v>10727</v>
      </c>
      <c r="G27" s="5">
        <v>662.23369149999996</v>
      </c>
      <c r="H27" s="8">
        <v>533</v>
      </c>
      <c r="I27" s="5">
        <v>0.19581685500000001</v>
      </c>
      <c r="J27" s="5">
        <v>4.6910669230000002</v>
      </c>
      <c r="K27" s="5">
        <v>6.7635106360000004</v>
      </c>
    </row>
    <row r="28" spans="1:11" ht="22.5">
      <c r="A28" s="2" t="s">
        <v>41</v>
      </c>
      <c r="B28" s="2" t="s">
        <v>39</v>
      </c>
      <c r="C28" s="5">
        <v>0.16445441399999999</v>
      </c>
      <c r="D28" s="8">
        <v>1065</v>
      </c>
      <c r="E28" s="5">
        <v>164.23616559999999</v>
      </c>
      <c r="F28" s="8">
        <v>10016</v>
      </c>
      <c r="G28" s="5">
        <v>547.42107399999998</v>
      </c>
      <c r="H28" s="8">
        <v>1038</v>
      </c>
      <c r="I28" s="5">
        <v>0.29900858499999999</v>
      </c>
      <c r="J28" s="5">
        <v>17.498248579999998</v>
      </c>
      <c r="K28" s="5">
        <v>35.035717740000003</v>
      </c>
    </row>
    <row r="29" spans="1:11" ht="22.5">
      <c r="A29" s="2" t="s">
        <v>42</v>
      </c>
      <c r="B29" s="2" t="s">
        <v>39</v>
      </c>
      <c r="C29" s="5">
        <v>0.115826463</v>
      </c>
      <c r="D29" s="8">
        <v>687</v>
      </c>
      <c r="E29" s="5">
        <v>43.457527429999999</v>
      </c>
      <c r="F29" s="8">
        <v>17109</v>
      </c>
      <c r="G29" s="5">
        <v>137.12920109999999</v>
      </c>
      <c r="H29" s="8">
        <v>912</v>
      </c>
      <c r="I29" s="5">
        <v>0.20549266199999999</v>
      </c>
      <c r="J29" s="5">
        <v>18.970607189999999</v>
      </c>
      <c r="K29" s="5">
        <v>186.87583269999999</v>
      </c>
    </row>
    <row r="30" spans="1:11" ht="22.5">
      <c r="A30" s="2" t="s">
        <v>43</v>
      </c>
      <c r="B30" s="2" t="s">
        <v>39</v>
      </c>
      <c r="C30" s="5">
        <v>0.23728640400000001</v>
      </c>
      <c r="D30" s="8">
        <v>1342</v>
      </c>
      <c r="E30" s="5">
        <v>202.18108530000001</v>
      </c>
      <c r="F30" s="8">
        <v>21526</v>
      </c>
      <c r="G30" s="5">
        <v>944.2073044</v>
      </c>
      <c r="H30" s="8">
        <v>713</v>
      </c>
      <c r="I30" s="5">
        <v>0.30690768600000001</v>
      </c>
      <c r="J30" s="5">
        <v>6.7391533709999996</v>
      </c>
      <c r="K30" s="5">
        <v>27.978315469999998</v>
      </c>
    </row>
    <row r="31" spans="1:11" ht="22.5">
      <c r="A31" s="2" t="s">
        <v>44</v>
      </c>
      <c r="B31" s="2" t="s">
        <v>39</v>
      </c>
      <c r="C31" s="5">
        <v>0.20200159100000001</v>
      </c>
      <c r="D31" s="8">
        <v>1129</v>
      </c>
      <c r="E31" s="5">
        <v>165.14509659999999</v>
      </c>
      <c r="F31" s="8">
        <v>17976</v>
      </c>
      <c r="G31" s="5">
        <v>765.46945619999997</v>
      </c>
      <c r="H31" s="8">
        <v>639</v>
      </c>
      <c r="I31" s="5">
        <v>0.29203587800000003</v>
      </c>
      <c r="J31" s="5">
        <v>11.560508110000001</v>
      </c>
      <c r="K31" s="5">
        <v>106.3233786</v>
      </c>
    </row>
    <row r="32" spans="1:11" ht="22.5">
      <c r="A32" s="2" t="s">
        <v>45</v>
      </c>
      <c r="B32" s="2" t="s">
        <v>46</v>
      </c>
      <c r="C32" s="5">
        <v>0.28408404599999998</v>
      </c>
      <c r="D32" s="8">
        <v>129</v>
      </c>
      <c r="E32" s="5">
        <v>128.75427880000001</v>
      </c>
      <c r="F32" s="8">
        <v>34543</v>
      </c>
      <c r="G32" s="5">
        <v>13248.05645</v>
      </c>
      <c r="H32" s="8">
        <v>335</v>
      </c>
      <c r="I32" s="5">
        <v>0.74156074199999999</v>
      </c>
      <c r="J32" s="5">
        <v>0.830660591</v>
      </c>
      <c r="K32" s="5">
        <v>9.7150933229999996</v>
      </c>
    </row>
    <row r="33" spans="1:11" ht="22.5">
      <c r="A33" s="2" t="s">
        <v>47</v>
      </c>
      <c r="B33" s="2" t="s">
        <v>46</v>
      </c>
      <c r="C33" s="5">
        <v>0.29665385599999999</v>
      </c>
      <c r="D33" s="8">
        <v>171</v>
      </c>
      <c r="E33" s="5">
        <v>87.099437640000005</v>
      </c>
      <c r="F33" s="8">
        <v>37273</v>
      </c>
      <c r="G33" s="5">
        <v>9956.7481179999995</v>
      </c>
      <c r="H33" s="8">
        <v>232</v>
      </c>
      <c r="I33" s="5">
        <v>0.69518413499999998</v>
      </c>
      <c r="J33" s="5">
        <v>1.982333506</v>
      </c>
      <c r="K33" s="5">
        <v>17.325865010000001</v>
      </c>
    </row>
    <row r="34" spans="1:11" ht="22.5">
      <c r="A34" s="2" t="s">
        <v>48</v>
      </c>
      <c r="B34" s="2" t="s">
        <v>46</v>
      </c>
      <c r="C34" s="5">
        <v>0.224040875</v>
      </c>
      <c r="D34" s="8">
        <v>708</v>
      </c>
      <c r="E34" s="5">
        <v>372.20473340000001</v>
      </c>
      <c r="F34" s="8">
        <v>41873</v>
      </c>
      <c r="G34" s="5">
        <v>10221.618570000001</v>
      </c>
      <c r="H34" s="8">
        <v>1045</v>
      </c>
      <c r="I34" s="5">
        <v>0.75492099300000004</v>
      </c>
      <c r="J34" s="5">
        <v>1.6634051809999999</v>
      </c>
      <c r="K34" s="5">
        <v>5.8757279220000003</v>
      </c>
    </row>
    <row r="35" spans="1:11" ht="22.5">
      <c r="A35" s="2" t="s">
        <v>49</v>
      </c>
      <c r="B35" s="2" t="s">
        <v>46</v>
      </c>
      <c r="C35" s="5">
        <v>0.28270687500000002</v>
      </c>
      <c r="D35" s="8">
        <v>108</v>
      </c>
      <c r="E35" s="5">
        <v>97.815433060000004</v>
      </c>
      <c r="F35" s="8">
        <v>45015</v>
      </c>
      <c r="G35" s="5">
        <v>16627.1538</v>
      </c>
      <c r="H35" s="8">
        <v>219</v>
      </c>
      <c r="I35" s="5">
        <v>0.82120633300000001</v>
      </c>
      <c r="J35" s="5">
        <v>1.0172188200000001</v>
      </c>
      <c r="K35" s="5">
        <v>3.8080858210000001</v>
      </c>
    </row>
    <row r="36" spans="1:11" ht="22.5">
      <c r="A36" s="2" t="s">
        <v>50</v>
      </c>
      <c r="B36" s="2" t="s">
        <v>46</v>
      </c>
      <c r="C36" s="5">
        <v>0.20481271500000001</v>
      </c>
      <c r="D36" s="8">
        <v>34</v>
      </c>
      <c r="E36" s="5">
        <v>143.8483664</v>
      </c>
      <c r="F36" s="8">
        <v>32583</v>
      </c>
      <c r="G36" s="5">
        <v>30635.219489999999</v>
      </c>
      <c r="H36" s="8">
        <v>206</v>
      </c>
      <c r="I36" s="5">
        <v>0.85801495000000005</v>
      </c>
      <c r="J36" s="5">
        <v>0.92126009399999997</v>
      </c>
      <c r="K36" s="5">
        <v>3.701959741</v>
      </c>
    </row>
    <row r="37" spans="1:11" ht="22.5">
      <c r="A37" s="2" t="s">
        <v>51</v>
      </c>
      <c r="B37" s="2" t="s">
        <v>46</v>
      </c>
      <c r="C37" s="5">
        <v>0.15025588100000001</v>
      </c>
      <c r="D37" s="8">
        <v>361</v>
      </c>
      <c r="E37" s="5">
        <v>161.7424652</v>
      </c>
      <c r="F37" s="8">
        <v>25791</v>
      </c>
      <c r="G37" s="5">
        <v>3457.1997270000002</v>
      </c>
      <c r="H37" s="8">
        <v>881</v>
      </c>
      <c r="I37" s="5">
        <v>0.72626871100000001</v>
      </c>
      <c r="J37" s="5">
        <v>0.94212887000000001</v>
      </c>
      <c r="K37" s="5">
        <v>3.0297135050000001</v>
      </c>
    </row>
    <row r="38" spans="1:11" ht="22.5">
      <c r="A38" s="2" t="s">
        <v>52</v>
      </c>
      <c r="B38" s="2" t="s">
        <v>46</v>
      </c>
      <c r="C38" s="5">
        <v>0.19062760100000001</v>
      </c>
      <c r="D38" s="8">
        <v>499</v>
      </c>
      <c r="E38" s="5">
        <v>240.1752481</v>
      </c>
      <c r="F38" s="8">
        <v>36944</v>
      </c>
      <c r="G38" s="5">
        <v>6179.2186840000004</v>
      </c>
      <c r="H38" s="8">
        <v>1082</v>
      </c>
      <c r="I38" s="5">
        <v>0.76566928499999998</v>
      </c>
      <c r="J38" s="5">
        <v>2.305873917</v>
      </c>
      <c r="K38" s="5">
        <v>12.12944755</v>
      </c>
    </row>
    <row r="39" spans="1:11" ht="22.5">
      <c r="A39" s="2" t="s">
        <v>53</v>
      </c>
      <c r="B39" s="2" t="s">
        <v>46</v>
      </c>
      <c r="C39" s="5">
        <v>0.209638982</v>
      </c>
      <c r="D39" s="8">
        <v>257</v>
      </c>
      <c r="E39" s="5">
        <v>128.1669258</v>
      </c>
      <c r="F39" s="8">
        <v>38132</v>
      </c>
      <c r="G39" s="5">
        <v>9196.6597309999997</v>
      </c>
      <c r="H39" s="8">
        <v>613</v>
      </c>
      <c r="I39" s="5">
        <v>0.82186251300000002</v>
      </c>
      <c r="J39" s="5">
        <v>0.81636553700000003</v>
      </c>
      <c r="K39" s="5">
        <v>4.1933788710000002</v>
      </c>
    </row>
    <row r="40" spans="1:11" ht="22.5">
      <c r="A40" s="2" t="s">
        <v>54</v>
      </c>
      <c r="B40" s="2" t="s">
        <v>46</v>
      </c>
      <c r="C40" s="5">
        <v>0.200587287</v>
      </c>
      <c r="D40" s="8">
        <v>542</v>
      </c>
      <c r="E40" s="5">
        <v>215.85568409999999</v>
      </c>
      <c r="F40" s="8">
        <v>32850</v>
      </c>
      <c r="G40" s="5">
        <v>4954.2407730000004</v>
      </c>
      <c r="H40" s="8">
        <v>571</v>
      </c>
      <c r="I40" s="5">
        <v>0.54555561699999999</v>
      </c>
      <c r="J40" s="5">
        <v>1.0844195919999999</v>
      </c>
      <c r="K40" s="5">
        <v>6.9970746129999997</v>
      </c>
    </row>
    <row r="41" spans="1:11" ht="22.5">
      <c r="A41" s="2" t="s">
        <v>55</v>
      </c>
      <c r="B41" s="2" t="s">
        <v>46</v>
      </c>
      <c r="C41" s="5">
        <v>0.17700149800000001</v>
      </c>
      <c r="D41" s="8">
        <v>445</v>
      </c>
      <c r="E41" s="5">
        <v>74.676478200000005</v>
      </c>
      <c r="F41" s="8">
        <v>18594</v>
      </c>
      <c r="G41" s="5">
        <v>1864.1496520000001</v>
      </c>
      <c r="H41" s="8">
        <v>273</v>
      </c>
      <c r="I41" s="5">
        <v>0.44922020600000001</v>
      </c>
      <c r="J41" s="5">
        <v>3.3109645040000002</v>
      </c>
      <c r="K41" s="5">
        <v>8.3109820800000005</v>
      </c>
    </row>
    <row r="42" spans="1:11" ht="22.5">
      <c r="A42" s="2" t="s">
        <v>56</v>
      </c>
      <c r="B42" s="2" t="s">
        <v>46</v>
      </c>
      <c r="C42" s="5">
        <v>0.20303921</v>
      </c>
      <c r="D42" s="8">
        <v>571</v>
      </c>
      <c r="E42" s="5">
        <v>331.75608119999998</v>
      </c>
      <c r="F42" s="8">
        <v>32691</v>
      </c>
      <c r="G42" s="5">
        <v>8079.7267279999996</v>
      </c>
      <c r="H42" s="8">
        <v>849</v>
      </c>
      <c r="I42" s="5">
        <v>0.61670978300000001</v>
      </c>
      <c r="J42" s="5">
        <v>3.3829036819999998</v>
      </c>
      <c r="K42" s="5">
        <v>24.285970540000001</v>
      </c>
    </row>
    <row r="43" spans="1:11" ht="22.5">
      <c r="A43" s="2" t="s">
        <v>57</v>
      </c>
      <c r="B43" s="2" t="s">
        <v>46</v>
      </c>
      <c r="C43" s="5">
        <v>0.27726281800000002</v>
      </c>
      <c r="D43" s="8">
        <v>102</v>
      </c>
      <c r="E43" s="5">
        <v>128.47486799999999</v>
      </c>
      <c r="F43" s="8">
        <v>47627</v>
      </c>
      <c r="G43" s="5">
        <v>18373.273939999999</v>
      </c>
      <c r="H43" s="8">
        <v>278</v>
      </c>
      <c r="I43" s="5">
        <v>0.87011525599999995</v>
      </c>
      <c r="J43" s="5">
        <v>0.15766860199999999</v>
      </c>
      <c r="K43" s="5">
        <v>0.56959482500000003</v>
      </c>
    </row>
    <row r="44" spans="1:11" ht="22.5">
      <c r="A44" s="2" t="s">
        <v>58</v>
      </c>
      <c r="B44" s="2" t="s">
        <v>59</v>
      </c>
      <c r="C44" s="5">
        <v>0.38123718899999998</v>
      </c>
      <c r="D44" s="8">
        <v>81</v>
      </c>
      <c r="E44" s="5">
        <v>329.24858180000001</v>
      </c>
      <c r="F44" s="8">
        <v>49793</v>
      </c>
      <c r="G44" s="5">
        <v>22267.425620000002</v>
      </c>
      <c r="H44" s="8">
        <v>378</v>
      </c>
      <c r="I44" s="5">
        <v>0.85368235000000003</v>
      </c>
      <c r="J44" s="5">
        <v>0.32760293000000001</v>
      </c>
      <c r="K44" s="5">
        <v>2.628934831</v>
      </c>
    </row>
    <row r="45" spans="1:11" ht="22.5">
      <c r="A45" s="2" t="s">
        <v>60</v>
      </c>
      <c r="B45" s="2" t="s">
        <v>59</v>
      </c>
      <c r="C45" s="5">
        <v>0.29858011600000001</v>
      </c>
      <c r="D45" s="8">
        <v>120</v>
      </c>
      <c r="E45" s="5">
        <v>188.40679470000001</v>
      </c>
      <c r="F45" s="8">
        <v>64318</v>
      </c>
      <c r="G45" s="5">
        <v>6285.6747960000002</v>
      </c>
      <c r="H45" s="8">
        <v>292</v>
      </c>
      <c r="I45" s="5">
        <v>0.640230823</v>
      </c>
      <c r="J45" s="5">
        <v>1.333412128</v>
      </c>
      <c r="K45" s="5">
        <v>14.00128525</v>
      </c>
    </row>
    <row r="46" spans="1:11" ht="22.5">
      <c r="A46" s="2" t="s">
        <v>61</v>
      </c>
      <c r="B46" s="2" t="s">
        <v>59</v>
      </c>
      <c r="C46" s="5">
        <v>0.31718099599999999</v>
      </c>
      <c r="D46" s="8">
        <v>78</v>
      </c>
      <c r="E46" s="5">
        <v>358.84669609999997</v>
      </c>
      <c r="F46" s="8">
        <v>122928</v>
      </c>
      <c r="G46" s="5">
        <v>32362.750410000001</v>
      </c>
      <c r="H46" s="8">
        <v>586</v>
      </c>
      <c r="I46" s="5">
        <v>0.851606266</v>
      </c>
      <c r="J46" s="5">
        <v>0.19072831500000001</v>
      </c>
      <c r="K46" s="5">
        <v>1.9705367970000001</v>
      </c>
    </row>
    <row r="47" spans="1:11" ht="22.5">
      <c r="A47" s="2" t="s">
        <v>62</v>
      </c>
      <c r="B47" s="2" t="s">
        <v>59</v>
      </c>
      <c r="C47" s="5">
        <v>0.39284011899999999</v>
      </c>
      <c r="D47" s="8">
        <v>159</v>
      </c>
      <c r="E47" s="5">
        <v>345.21777780000002</v>
      </c>
      <c r="F47" s="8">
        <v>58902</v>
      </c>
      <c r="G47" s="5">
        <v>20570.694230000001</v>
      </c>
      <c r="H47" s="8">
        <v>296</v>
      </c>
      <c r="I47" s="5">
        <v>0.80852353799999999</v>
      </c>
      <c r="J47" s="5">
        <v>0.54759787999999998</v>
      </c>
      <c r="K47" s="5">
        <v>3.186245719</v>
      </c>
    </row>
    <row r="48" spans="1:11" ht="22.5">
      <c r="A48" s="2" t="s">
        <v>63</v>
      </c>
      <c r="B48" s="2" t="s">
        <v>59</v>
      </c>
      <c r="C48" s="5">
        <v>0.37416011999999998</v>
      </c>
      <c r="D48" s="8">
        <v>137</v>
      </c>
      <c r="E48" s="5">
        <v>432.2744543</v>
      </c>
      <c r="F48" s="8">
        <v>116103</v>
      </c>
      <c r="G48" s="5">
        <v>25761.295239999999</v>
      </c>
      <c r="H48" s="8">
        <v>663</v>
      </c>
      <c r="I48" s="5">
        <v>0.85392971100000004</v>
      </c>
      <c r="J48" s="5">
        <v>0.20955678999999999</v>
      </c>
      <c r="K48" s="5">
        <v>2.752118786</v>
      </c>
    </row>
    <row r="49" spans="1:11" ht="22.5">
      <c r="A49" s="2" t="s">
        <v>64</v>
      </c>
      <c r="B49" s="2" t="s">
        <v>59</v>
      </c>
      <c r="C49" s="5">
        <v>0.311484967</v>
      </c>
      <c r="D49" s="8">
        <v>94</v>
      </c>
      <c r="E49" s="5">
        <v>265.06636479999997</v>
      </c>
      <c r="F49" s="8">
        <v>135810</v>
      </c>
      <c r="G49" s="5">
        <v>20191.368740000002</v>
      </c>
      <c r="H49" s="8">
        <v>332</v>
      </c>
      <c r="I49" s="5">
        <v>0.77778586100000002</v>
      </c>
      <c r="J49" s="5">
        <v>0.79458399800000001</v>
      </c>
      <c r="K49" s="5">
        <v>6.4445451350000003</v>
      </c>
    </row>
    <row r="50" spans="1:11" ht="22.5">
      <c r="A50" s="2" t="s">
        <v>65</v>
      </c>
      <c r="B50" s="2" t="s">
        <v>59</v>
      </c>
      <c r="C50" s="5">
        <v>0.39200379400000002</v>
      </c>
      <c r="D50" s="8">
        <v>156</v>
      </c>
      <c r="E50" s="5">
        <v>396.3901975</v>
      </c>
      <c r="F50" s="8">
        <v>79575</v>
      </c>
      <c r="G50" s="5">
        <v>35713.646780000003</v>
      </c>
      <c r="H50" s="8">
        <v>262</v>
      </c>
      <c r="I50" s="5">
        <v>0.903430277</v>
      </c>
      <c r="J50" s="5">
        <v>0.29956396099999999</v>
      </c>
      <c r="K50" s="5">
        <v>3.0167309169999998</v>
      </c>
    </row>
    <row r="51" spans="1:11" ht="22.5">
      <c r="A51" s="2" t="s">
        <v>66</v>
      </c>
      <c r="B51" s="2" t="s">
        <v>59</v>
      </c>
      <c r="C51" s="5">
        <v>0.437683141</v>
      </c>
      <c r="D51" s="8">
        <v>60</v>
      </c>
      <c r="E51" s="5">
        <v>192.55077840000001</v>
      </c>
      <c r="F51" s="8">
        <v>94839</v>
      </c>
      <c r="G51" s="5">
        <v>27145.211780000001</v>
      </c>
      <c r="H51" s="8">
        <v>569</v>
      </c>
      <c r="I51" s="5">
        <v>0.84384013499999999</v>
      </c>
      <c r="J51" s="5">
        <v>0.17393256700000001</v>
      </c>
      <c r="K51" s="5">
        <v>1.7502477160000001</v>
      </c>
    </row>
    <row r="52" spans="1:11" ht="22.5">
      <c r="A52" s="2" t="s">
        <v>67</v>
      </c>
      <c r="B52" s="2" t="s">
        <v>59</v>
      </c>
      <c r="C52" s="5">
        <v>0.378531748</v>
      </c>
      <c r="D52" s="8">
        <v>163</v>
      </c>
      <c r="E52" s="5">
        <v>356.39910420000001</v>
      </c>
      <c r="F52" s="8">
        <v>58597</v>
      </c>
      <c r="G52" s="5">
        <v>16499.42511</v>
      </c>
      <c r="H52" s="8">
        <v>537</v>
      </c>
      <c r="I52" s="5">
        <v>0.88783676300000003</v>
      </c>
      <c r="J52" s="5">
        <v>1.626186854</v>
      </c>
      <c r="K52" s="5">
        <v>6.4095785159999998</v>
      </c>
    </row>
    <row r="53" spans="1:11" ht="22.5">
      <c r="A53" s="2" t="s">
        <v>68</v>
      </c>
      <c r="B53" s="2" t="s">
        <v>59</v>
      </c>
      <c r="C53" s="5">
        <v>0.32082157300000003</v>
      </c>
      <c r="D53" s="8">
        <v>69</v>
      </c>
      <c r="E53" s="5">
        <v>332.3648245</v>
      </c>
      <c r="F53" s="8">
        <v>65675</v>
      </c>
      <c r="G53" s="5">
        <v>19981.421760000001</v>
      </c>
      <c r="H53" s="8">
        <v>353</v>
      </c>
      <c r="I53" s="5">
        <v>0.84372344300000002</v>
      </c>
      <c r="J53" s="5">
        <v>0.497312592</v>
      </c>
      <c r="K53" s="5">
        <v>2.9902389130000002</v>
      </c>
    </row>
    <row r="54" spans="1:11" ht="22.5">
      <c r="A54" s="2" t="s">
        <v>69</v>
      </c>
      <c r="B54" s="2" t="s">
        <v>59</v>
      </c>
      <c r="C54" s="5">
        <v>0.31972019899999998</v>
      </c>
      <c r="D54" s="8">
        <v>92</v>
      </c>
      <c r="E54" s="5">
        <v>101.8701799</v>
      </c>
      <c r="F54" s="8">
        <v>72026</v>
      </c>
      <c r="G54" s="5">
        <v>5628.42461</v>
      </c>
      <c r="H54" s="8">
        <v>357</v>
      </c>
      <c r="I54" s="5">
        <v>0.876384092</v>
      </c>
      <c r="J54" s="5">
        <v>0.59929680200000002</v>
      </c>
      <c r="K54" s="5">
        <v>2.6630204229999999</v>
      </c>
    </row>
    <row r="55" spans="1:11" ht="22.5">
      <c r="A55" s="2" t="s">
        <v>70</v>
      </c>
      <c r="B55" s="2" t="s">
        <v>59</v>
      </c>
      <c r="C55" s="5">
        <v>0.27767386999999999</v>
      </c>
      <c r="D55" s="8">
        <v>155</v>
      </c>
      <c r="E55" s="5">
        <v>402.72174219999999</v>
      </c>
      <c r="F55" s="8">
        <v>64054</v>
      </c>
      <c r="G55" s="5">
        <v>16600.448039999999</v>
      </c>
      <c r="H55" s="8">
        <v>375</v>
      </c>
      <c r="I55" s="5">
        <v>0.710798822</v>
      </c>
      <c r="J55" s="5">
        <v>1.2981645559999999</v>
      </c>
      <c r="K55" s="5">
        <v>13.06937724</v>
      </c>
    </row>
    <row r="56" spans="1:11" ht="22.5">
      <c r="A56" s="2" t="s">
        <v>71</v>
      </c>
      <c r="B56" s="2" t="s">
        <v>59</v>
      </c>
      <c r="C56" s="5">
        <v>0.26180214699999999</v>
      </c>
      <c r="D56" s="8">
        <v>174</v>
      </c>
      <c r="E56" s="5">
        <v>229.8425038</v>
      </c>
      <c r="F56" s="8">
        <v>77804</v>
      </c>
      <c r="G56" s="5">
        <v>9068.0721549999998</v>
      </c>
      <c r="H56" s="8">
        <v>386</v>
      </c>
      <c r="I56" s="5">
        <v>0.75575410099999996</v>
      </c>
      <c r="J56" s="5">
        <v>1.3135681850000001</v>
      </c>
      <c r="K56" s="5">
        <v>8.1786381549999998</v>
      </c>
    </row>
    <row r="57" spans="1:11" ht="22.5">
      <c r="A57" s="2" t="s">
        <v>72</v>
      </c>
      <c r="B57" s="2" t="s">
        <v>73</v>
      </c>
      <c r="C57" s="5">
        <v>0.45592245300000001</v>
      </c>
      <c r="D57" s="8">
        <v>80</v>
      </c>
      <c r="E57" s="5">
        <v>114.6563939</v>
      </c>
      <c r="F57" s="8">
        <v>66173</v>
      </c>
      <c r="G57" s="5">
        <v>47878.688439999998</v>
      </c>
      <c r="H57" s="8">
        <v>130</v>
      </c>
      <c r="I57" s="5">
        <v>0.83788606300000001</v>
      </c>
      <c r="J57" s="5">
        <v>0.18211106499999999</v>
      </c>
      <c r="K57" s="5">
        <v>2.429610351</v>
      </c>
    </row>
    <row r="58" spans="1:11" ht="22.5">
      <c r="A58" s="2" t="s">
        <v>74</v>
      </c>
      <c r="B58" s="2" t="s">
        <v>73</v>
      </c>
      <c r="C58" s="5">
        <v>0.50326938300000001</v>
      </c>
      <c r="D58" s="8">
        <v>132</v>
      </c>
      <c r="E58" s="5">
        <v>96.47389502</v>
      </c>
      <c r="F58" s="8">
        <v>55035</v>
      </c>
      <c r="G58" s="5">
        <v>42644.606390000001</v>
      </c>
      <c r="H58" s="8">
        <v>245</v>
      </c>
      <c r="I58" s="5">
        <v>0.88722845100000003</v>
      </c>
      <c r="J58" s="5">
        <v>0.16154519000000001</v>
      </c>
      <c r="K58" s="5">
        <v>2.6723714279999999</v>
      </c>
    </row>
    <row r="59" spans="1:11" ht="22.5">
      <c r="A59" s="2" t="s">
        <v>75</v>
      </c>
      <c r="B59" s="2" t="s">
        <v>73</v>
      </c>
      <c r="C59" s="5">
        <v>0.27643337099999998</v>
      </c>
      <c r="D59" s="8">
        <v>360</v>
      </c>
      <c r="E59" s="5">
        <v>226.6648615</v>
      </c>
      <c r="F59" s="8">
        <v>52129</v>
      </c>
      <c r="G59" s="5">
        <v>11081.61522</v>
      </c>
      <c r="H59" s="8">
        <v>541</v>
      </c>
      <c r="I59" s="5">
        <v>0.76293468499999995</v>
      </c>
      <c r="J59" s="5">
        <v>1.313136045</v>
      </c>
      <c r="K59" s="5">
        <v>9.817440758</v>
      </c>
    </row>
    <row r="60" spans="1:11" ht="22.5">
      <c r="A60" s="2" t="s">
        <v>76</v>
      </c>
      <c r="B60" s="2" t="s">
        <v>73</v>
      </c>
      <c r="C60" s="5">
        <v>0.36324788299999999</v>
      </c>
      <c r="D60" s="8">
        <v>56</v>
      </c>
      <c r="E60" s="5">
        <v>115.6786467</v>
      </c>
      <c r="F60" s="8">
        <v>46806</v>
      </c>
      <c r="G60" s="5">
        <v>45435.79797</v>
      </c>
      <c r="H60" s="8">
        <v>133</v>
      </c>
      <c r="I60" s="5">
        <v>0.90182191899999997</v>
      </c>
      <c r="J60" s="5">
        <v>0.68152214099999997</v>
      </c>
      <c r="K60" s="5">
        <v>4.0525268490000004</v>
      </c>
    </row>
    <row r="61" spans="1:11" ht="22.5">
      <c r="A61" s="2" t="s">
        <v>77</v>
      </c>
      <c r="B61" s="2" t="s">
        <v>73</v>
      </c>
      <c r="C61" s="5">
        <v>0.406220635</v>
      </c>
      <c r="D61" s="8">
        <v>242</v>
      </c>
      <c r="E61" s="5">
        <v>72.781809710000005</v>
      </c>
      <c r="F61" s="8">
        <v>46415</v>
      </c>
      <c r="G61" s="5">
        <v>11214.897199999999</v>
      </c>
      <c r="H61" s="8">
        <v>334</v>
      </c>
      <c r="I61" s="5">
        <v>0.87484980599999995</v>
      </c>
      <c r="J61" s="5">
        <v>0.61995806099999995</v>
      </c>
      <c r="K61" s="5">
        <v>1.8589018470000001</v>
      </c>
    </row>
    <row r="62" spans="1:11" ht="22.5">
      <c r="A62" s="2" t="s">
        <v>78</v>
      </c>
      <c r="B62" s="2" t="s">
        <v>73</v>
      </c>
      <c r="C62" s="5">
        <v>0.36654825400000002</v>
      </c>
      <c r="D62" s="8">
        <v>89</v>
      </c>
      <c r="E62" s="5">
        <v>115.81789759999999</v>
      </c>
      <c r="F62" s="8">
        <v>52179</v>
      </c>
      <c r="G62" s="5">
        <v>31101.189259999999</v>
      </c>
      <c r="H62" s="8">
        <v>292</v>
      </c>
      <c r="I62" s="5">
        <v>0.89188512799999997</v>
      </c>
      <c r="J62" s="5">
        <v>0.34262848400000001</v>
      </c>
      <c r="K62" s="5">
        <v>1.272878476</v>
      </c>
    </row>
    <row r="63" spans="1:11" ht="22.5">
      <c r="A63" s="2" t="s">
        <v>79</v>
      </c>
      <c r="B63" s="2" t="s">
        <v>73</v>
      </c>
      <c r="C63" s="5">
        <v>0.44706875200000001</v>
      </c>
      <c r="D63" s="8">
        <v>122</v>
      </c>
      <c r="E63" s="5">
        <v>128.94850289999999</v>
      </c>
      <c r="F63" s="8">
        <v>66033</v>
      </c>
      <c r="G63" s="5">
        <v>29740.614839999998</v>
      </c>
      <c r="H63" s="8">
        <v>420</v>
      </c>
      <c r="I63" s="5">
        <v>0.83264559599999999</v>
      </c>
      <c r="J63" s="5">
        <v>0.140296374</v>
      </c>
      <c r="K63" s="5">
        <v>1.4637155310000001</v>
      </c>
    </row>
    <row r="64" spans="1:11" ht="22.5">
      <c r="A64" s="2" t="s">
        <v>80</v>
      </c>
      <c r="B64" s="2" t="s">
        <v>73</v>
      </c>
      <c r="C64" s="5">
        <v>0.34249453800000002</v>
      </c>
      <c r="D64" s="8">
        <v>125</v>
      </c>
      <c r="E64" s="5">
        <v>124.67706219999999</v>
      </c>
      <c r="F64" s="8">
        <v>59392</v>
      </c>
      <c r="G64" s="5">
        <v>19488.189030000001</v>
      </c>
      <c r="H64" s="8">
        <v>1761</v>
      </c>
      <c r="I64" s="5">
        <v>0.79431509099999997</v>
      </c>
      <c r="J64" s="5">
        <v>0.299492537</v>
      </c>
      <c r="K64" s="5">
        <v>8.7818948639999999</v>
      </c>
    </row>
    <row r="65" spans="1:11" ht="22.5">
      <c r="A65" s="2" t="s">
        <v>81</v>
      </c>
      <c r="B65" s="2" t="s">
        <v>82</v>
      </c>
      <c r="C65" s="5">
        <v>0.35899756199999999</v>
      </c>
      <c r="D65" s="8">
        <v>277</v>
      </c>
      <c r="E65" s="5">
        <v>258.63105769999999</v>
      </c>
      <c r="F65" s="8">
        <v>61406</v>
      </c>
      <c r="G65" s="5">
        <v>19430.763220000001</v>
      </c>
      <c r="H65" s="8">
        <v>565</v>
      </c>
      <c r="I65" s="5">
        <v>0.85902051999999995</v>
      </c>
      <c r="J65" s="5">
        <v>0.14907426700000001</v>
      </c>
      <c r="K65" s="5">
        <v>2.2495939890000001</v>
      </c>
    </row>
    <row r="66" spans="1:11" ht="22.5">
      <c r="A66" s="2" t="s">
        <v>83</v>
      </c>
      <c r="B66" s="2" t="s">
        <v>82</v>
      </c>
      <c r="C66" s="5">
        <v>0.284606847</v>
      </c>
      <c r="D66" s="8">
        <v>200</v>
      </c>
      <c r="E66" s="5">
        <v>298.3760388</v>
      </c>
      <c r="F66" s="8">
        <v>64943</v>
      </c>
      <c r="G66" s="5">
        <v>18726.903549999999</v>
      </c>
      <c r="H66" s="8">
        <v>616</v>
      </c>
      <c r="I66" s="5">
        <v>0.76218421199999997</v>
      </c>
      <c r="J66" s="5">
        <v>0.65491462700000003</v>
      </c>
      <c r="K66" s="5">
        <v>6.4535339279999997</v>
      </c>
    </row>
    <row r="67" spans="1:11" ht="22.5">
      <c r="A67" s="2" t="s">
        <v>84</v>
      </c>
      <c r="B67" s="2" t="s">
        <v>82</v>
      </c>
      <c r="C67" s="5">
        <v>0.37079660800000003</v>
      </c>
      <c r="D67" s="8">
        <v>105</v>
      </c>
      <c r="E67" s="5">
        <v>165.216499</v>
      </c>
      <c r="F67" s="8">
        <v>64829</v>
      </c>
      <c r="G67" s="5">
        <v>34974.478210000001</v>
      </c>
      <c r="H67" s="8">
        <v>191</v>
      </c>
      <c r="I67" s="5">
        <v>0.86001140399999998</v>
      </c>
      <c r="J67" s="5">
        <v>0.13449972199999999</v>
      </c>
      <c r="K67" s="5">
        <v>2.328021401</v>
      </c>
    </row>
    <row r="68" spans="1:11" ht="22.5">
      <c r="A68" s="2" t="s">
        <v>85</v>
      </c>
      <c r="B68" s="2" t="s">
        <v>82</v>
      </c>
      <c r="C68" s="5">
        <v>0.41214598000000002</v>
      </c>
      <c r="D68" s="8">
        <v>155</v>
      </c>
      <c r="E68" s="5">
        <v>170.48246330000001</v>
      </c>
      <c r="F68" s="8">
        <v>68371</v>
      </c>
      <c r="G68" s="5">
        <v>21605.804329999999</v>
      </c>
      <c r="H68" s="8">
        <v>140</v>
      </c>
      <c r="I68" s="5">
        <v>0.80818734000000003</v>
      </c>
      <c r="J68" s="5">
        <v>0.514833192</v>
      </c>
      <c r="K68" s="5">
        <v>1.4311286430000001</v>
      </c>
    </row>
    <row r="69" spans="1:11" ht="22.5">
      <c r="A69" s="2" t="s">
        <v>86</v>
      </c>
      <c r="B69" s="2" t="s">
        <v>82</v>
      </c>
      <c r="C69" s="5">
        <v>0.28282473499999999</v>
      </c>
      <c r="D69" s="8">
        <v>99</v>
      </c>
      <c r="E69" s="5">
        <v>160.16324689999999</v>
      </c>
      <c r="F69" s="8">
        <v>61406</v>
      </c>
      <c r="G69" s="5">
        <v>14245.14611</v>
      </c>
      <c r="H69" s="8">
        <v>180</v>
      </c>
      <c r="I69" s="5">
        <v>0.66171678300000003</v>
      </c>
      <c r="J69" s="5">
        <v>0.42737770800000002</v>
      </c>
      <c r="K69" s="5">
        <v>0.79820255399999995</v>
      </c>
    </row>
    <row r="70" spans="1:11" ht="22.5">
      <c r="A70" s="2" t="s">
        <v>87</v>
      </c>
      <c r="B70" s="2" t="s">
        <v>82</v>
      </c>
      <c r="C70" s="5">
        <v>0.41032112700000001</v>
      </c>
      <c r="D70" s="8">
        <v>155</v>
      </c>
      <c r="E70" s="5">
        <v>103.2350635</v>
      </c>
      <c r="F70" s="8">
        <v>84151</v>
      </c>
      <c r="G70" s="5">
        <v>17969.147919999999</v>
      </c>
      <c r="H70" s="8">
        <v>174</v>
      </c>
      <c r="I70" s="5">
        <v>0.76314585999999995</v>
      </c>
      <c r="J70" s="5">
        <v>0.31751216900000001</v>
      </c>
      <c r="K70" s="5">
        <v>2.6081516979999999</v>
      </c>
    </row>
    <row r="71" spans="1:11" ht="22.5">
      <c r="A71" s="2" t="s">
        <v>88</v>
      </c>
      <c r="B71" s="2" t="s">
        <v>82</v>
      </c>
      <c r="C71" s="5">
        <v>0.33734439300000002</v>
      </c>
      <c r="D71" s="8">
        <v>47</v>
      </c>
      <c r="E71" s="5">
        <v>151.7584391</v>
      </c>
      <c r="F71" s="8">
        <v>44336</v>
      </c>
      <c r="G71" s="5">
        <v>43243.597399999999</v>
      </c>
      <c r="H71" s="8">
        <v>127</v>
      </c>
      <c r="I71" s="5">
        <v>0.81719702800000005</v>
      </c>
      <c r="J71" s="5">
        <v>0.94640294599999997</v>
      </c>
      <c r="K71" s="5">
        <v>5.9252924919999996</v>
      </c>
    </row>
    <row r="72" spans="1:11" ht="22.5">
      <c r="A72" s="2" t="s">
        <v>89</v>
      </c>
      <c r="B72" s="2" t="s">
        <v>82</v>
      </c>
      <c r="C72" s="5">
        <v>0.592643005</v>
      </c>
      <c r="D72" s="8">
        <v>83</v>
      </c>
      <c r="E72" s="5">
        <v>183.72602359999999</v>
      </c>
      <c r="F72" s="8">
        <v>48536</v>
      </c>
      <c r="G72" s="5">
        <v>47915.30487</v>
      </c>
      <c r="H72" s="8">
        <v>166</v>
      </c>
      <c r="I72" s="5">
        <v>0.90624370200000004</v>
      </c>
      <c r="J72" s="5">
        <v>0.37428263000000001</v>
      </c>
      <c r="K72" s="5">
        <v>2.1081732729999998</v>
      </c>
    </row>
    <row r="73" spans="1:11" ht="22.5">
      <c r="A73" s="2" t="s">
        <v>90</v>
      </c>
      <c r="B73" s="2" t="s">
        <v>82</v>
      </c>
      <c r="C73" s="5">
        <v>0.27791397200000001</v>
      </c>
      <c r="D73" s="8">
        <v>190</v>
      </c>
      <c r="E73" s="5">
        <v>124.0272209</v>
      </c>
      <c r="F73" s="8">
        <v>94540</v>
      </c>
      <c r="G73" s="5">
        <v>7910.6412650000002</v>
      </c>
      <c r="H73" s="8">
        <v>717</v>
      </c>
      <c r="I73" s="5">
        <v>0.61414467399999995</v>
      </c>
      <c r="J73" s="5">
        <v>0.27353328999999998</v>
      </c>
      <c r="K73" s="5">
        <v>4.7711673110000001</v>
      </c>
    </row>
    <row r="74" spans="1:11" ht="22.5">
      <c r="A74" s="2" t="s">
        <v>91</v>
      </c>
      <c r="B74" s="2" t="s">
        <v>82</v>
      </c>
      <c r="C74" s="5">
        <v>0.177180698</v>
      </c>
      <c r="D74" s="8">
        <v>79</v>
      </c>
      <c r="E74" s="5">
        <v>326.21450670000002</v>
      </c>
      <c r="F74" s="8">
        <v>43712</v>
      </c>
      <c r="G74" s="5">
        <v>19159.969349999999</v>
      </c>
      <c r="H74" s="8">
        <v>513</v>
      </c>
      <c r="I74" s="5">
        <v>0.65001827000000001</v>
      </c>
      <c r="J74" s="5">
        <v>0.57766870400000003</v>
      </c>
      <c r="K74" s="5">
        <v>10.09453972</v>
      </c>
    </row>
    <row r="75" spans="1:11" ht="22.5">
      <c r="A75" s="2" t="s">
        <v>92</v>
      </c>
      <c r="B75" s="2" t="s">
        <v>82</v>
      </c>
      <c r="C75" s="5">
        <v>0.39655376199999998</v>
      </c>
      <c r="D75" s="8">
        <v>79</v>
      </c>
      <c r="E75" s="5">
        <v>147.35226059999999</v>
      </c>
      <c r="F75" s="8">
        <v>68024</v>
      </c>
      <c r="G75" s="5">
        <v>35570.107689999997</v>
      </c>
      <c r="H75" s="8">
        <v>139</v>
      </c>
      <c r="I75" s="5">
        <v>0.896296812</v>
      </c>
      <c r="J75" s="5">
        <v>0.34063284399999999</v>
      </c>
      <c r="K75" s="5">
        <v>1.4970020939999999</v>
      </c>
    </row>
    <row r="76" spans="1:11" ht="22.5">
      <c r="A76" s="2" t="s">
        <v>93</v>
      </c>
      <c r="B76" s="2" t="s">
        <v>82</v>
      </c>
      <c r="C76" s="5">
        <v>0.29946824100000002</v>
      </c>
      <c r="D76" s="8">
        <v>95</v>
      </c>
      <c r="E76" s="5">
        <v>131.8671799</v>
      </c>
      <c r="F76" s="8">
        <v>44401</v>
      </c>
      <c r="G76" s="5">
        <v>24133.4231</v>
      </c>
      <c r="H76" s="8">
        <v>112</v>
      </c>
      <c r="I76" s="5">
        <v>0.84597180699999996</v>
      </c>
      <c r="J76" s="5">
        <v>0.27425170100000001</v>
      </c>
      <c r="K76" s="5">
        <v>0.56383404199999998</v>
      </c>
    </row>
    <row r="77" spans="1:11" ht="22.5">
      <c r="A77" s="2" t="s">
        <v>94</v>
      </c>
      <c r="B77" s="2" t="s">
        <v>95</v>
      </c>
      <c r="C77" s="5">
        <v>0.20926367000000001</v>
      </c>
      <c r="D77" s="8">
        <v>412</v>
      </c>
      <c r="E77" s="5">
        <v>145.80203990000001</v>
      </c>
      <c r="F77" s="8">
        <v>27216</v>
      </c>
      <c r="G77" s="5">
        <v>1224.664325</v>
      </c>
      <c r="H77" s="8">
        <v>936</v>
      </c>
      <c r="I77" s="5">
        <v>0.65433288999999994</v>
      </c>
      <c r="J77" s="5">
        <v>3.7105381670000002</v>
      </c>
      <c r="K77" s="5">
        <v>15.370027350000001</v>
      </c>
    </row>
    <row r="78" spans="1:11" ht="22.5">
      <c r="A78" s="2" t="s">
        <v>96</v>
      </c>
      <c r="B78" s="2" t="s">
        <v>95</v>
      </c>
      <c r="C78" s="5">
        <v>0.188661038</v>
      </c>
      <c r="D78" s="8">
        <v>880</v>
      </c>
      <c r="E78" s="5">
        <v>155.26743339999999</v>
      </c>
      <c r="F78" s="8">
        <v>21384</v>
      </c>
      <c r="G78" s="5">
        <v>780.13797220000004</v>
      </c>
      <c r="H78" s="8">
        <v>884</v>
      </c>
      <c r="I78" s="5">
        <v>0.262768736</v>
      </c>
      <c r="J78" s="5">
        <v>11.06890379</v>
      </c>
      <c r="K78" s="5">
        <v>46.691468659999998</v>
      </c>
    </row>
    <row r="79" spans="1:11" ht="22.5">
      <c r="A79" s="2" t="s">
        <v>97</v>
      </c>
      <c r="B79" s="2" t="s">
        <v>95</v>
      </c>
      <c r="C79" s="5">
        <v>0.23751553</v>
      </c>
      <c r="D79" s="8">
        <v>1469</v>
      </c>
      <c r="E79" s="5">
        <v>145.88207919999999</v>
      </c>
      <c r="F79" s="8">
        <v>12267</v>
      </c>
      <c r="G79" s="5">
        <v>679.59941240000001</v>
      </c>
      <c r="H79" s="8">
        <v>418</v>
      </c>
      <c r="I79" s="5">
        <v>0.162893396</v>
      </c>
      <c r="J79" s="5">
        <v>12.823355299999999</v>
      </c>
      <c r="K79" s="5">
        <v>47.809691260000001</v>
      </c>
    </row>
    <row r="80" spans="1:11" ht="22.5">
      <c r="A80" s="2" t="s">
        <v>98</v>
      </c>
      <c r="B80" s="2" t="s">
        <v>95</v>
      </c>
      <c r="C80" s="5">
        <v>0.18357847599999999</v>
      </c>
      <c r="D80" s="8">
        <v>443</v>
      </c>
      <c r="E80" s="5">
        <v>71.69153652</v>
      </c>
      <c r="F80" s="8">
        <v>14878</v>
      </c>
      <c r="G80" s="5">
        <v>505.87403649999999</v>
      </c>
      <c r="H80" s="8">
        <v>628</v>
      </c>
      <c r="I80" s="5">
        <v>0.26530775499999998</v>
      </c>
      <c r="J80" s="5">
        <v>10.71010835</v>
      </c>
      <c r="K80" s="5">
        <v>25.590643379999999</v>
      </c>
    </row>
    <row r="81" spans="1:11" ht="22.5">
      <c r="A81" s="2" t="s">
        <v>99</v>
      </c>
      <c r="B81" s="2" t="s">
        <v>95</v>
      </c>
      <c r="C81" s="5">
        <v>0.30574905800000002</v>
      </c>
      <c r="D81" s="8">
        <v>150</v>
      </c>
      <c r="E81" s="5">
        <v>192.56576749999999</v>
      </c>
      <c r="F81" s="8">
        <v>19342</v>
      </c>
      <c r="G81" s="5">
        <v>11508.12666</v>
      </c>
      <c r="H81" s="8">
        <v>273</v>
      </c>
      <c r="I81" s="5">
        <v>0.81794702500000005</v>
      </c>
      <c r="J81" s="5">
        <v>0.41583130800000001</v>
      </c>
      <c r="K81" s="5">
        <v>5.1977323379999998</v>
      </c>
    </row>
    <row r="82" spans="1:11" ht="22.5">
      <c r="A82" s="2" t="s">
        <v>100</v>
      </c>
      <c r="B82" s="2" t="s">
        <v>95</v>
      </c>
      <c r="C82" s="5">
        <v>0.19617477</v>
      </c>
      <c r="D82" s="8">
        <v>391</v>
      </c>
      <c r="E82" s="5">
        <v>138.5154952</v>
      </c>
      <c r="F82" s="8">
        <v>41048</v>
      </c>
      <c r="G82" s="5">
        <v>1324.2207519999999</v>
      </c>
      <c r="H82" s="8">
        <v>800</v>
      </c>
      <c r="I82" s="5">
        <v>0.59470055099999997</v>
      </c>
      <c r="J82" s="5">
        <v>1.2118669280000001</v>
      </c>
      <c r="K82" s="5">
        <v>7.5750831669999998</v>
      </c>
    </row>
    <row r="83" spans="1:11" ht="22.5">
      <c r="A83" s="2" t="s">
        <v>101</v>
      </c>
      <c r="B83" s="2" t="s">
        <v>95</v>
      </c>
      <c r="C83" s="5">
        <v>0.186083781</v>
      </c>
      <c r="D83" s="8">
        <v>600</v>
      </c>
      <c r="E83" s="5">
        <v>73.072956309999995</v>
      </c>
      <c r="F83" s="8">
        <v>12267</v>
      </c>
      <c r="G83" s="5">
        <v>550.83024669999998</v>
      </c>
      <c r="H83" s="8">
        <v>339</v>
      </c>
      <c r="I83" s="5">
        <v>0.150554308</v>
      </c>
      <c r="J83" s="5">
        <v>11.490001100000001</v>
      </c>
      <c r="K83" s="5">
        <v>44.824444739999997</v>
      </c>
    </row>
    <row r="84" spans="1:11" ht="22.5">
      <c r="A84" s="2" t="s">
        <v>102</v>
      </c>
      <c r="B84" s="2" t="s">
        <v>95</v>
      </c>
      <c r="C84" s="5">
        <v>0.19547244599999999</v>
      </c>
      <c r="D84" s="8">
        <v>228</v>
      </c>
      <c r="E84" s="5">
        <v>150.3968911</v>
      </c>
      <c r="F84" s="8">
        <v>34154</v>
      </c>
      <c r="G84" s="5">
        <v>2065.870367</v>
      </c>
      <c r="H84" s="8">
        <v>467</v>
      </c>
      <c r="I84" s="5">
        <v>0.429144317</v>
      </c>
      <c r="J84" s="5">
        <v>0.78148925599999997</v>
      </c>
      <c r="K84" s="5">
        <v>33.36277012</v>
      </c>
    </row>
    <row r="85" spans="1:11" ht="22.5">
      <c r="A85" s="2" t="s">
        <v>103</v>
      </c>
      <c r="B85" s="2" t="s">
        <v>95</v>
      </c>
      <c r="C85" s="5">
        <v>0.204315306</v>
      </c>
      <c r="D85" s="8">
        <v>1168</v>
      </c>
      <c r="E85" s="5">
        <v>112.31002119999999</v>
      </c>
      <c r="F85" s="8">
        <v>11197</v>
      </c>
      <c r="G85" s="5">
        <v>657.30552599999999</v>
      </c>
      <c r="H85" s="8">
        <v>479</v>
      </c>
      <c r="I85" s="5">
        <v>0.17533120899999999</v>
      </c>
      <c r="J85" s="5">
        <v>23.873981000000001</v>
      </c>
      <c r="K85" s="5">
        <v>113.4496683</v>
      </c>
    </row>
    <row r="86" spans="1:11" ht="22.5">
      <c r="A86" s="2" t="s">
        <v>104</v>
      </c>
      <c r="B86" s="2" t="s">
        <v>95</v>
      </c>
      <c r="C86" s="5">
        <v>0.19652208600000001</v>
      </c>
      <c r="D86" s="8">
        <v>293</v>
      </c>
      <c r="E86" s="5">
        <v>217.33053330000001</v>
      </c>
      <c r="F86" s="8">
        <v>29651</v>
      </c>
      <c r="G86" s="5">
        <v>3065.2842030000002</v>
      </c>
      <c r="H86" s="8">
        <v>1724</v>
      </c>
      <c r="I86" s="5">
        <v>0.62322525699999998</v>
      </c>
      <c r="J86" s="5">
        <v>1.3817860879999999</v>
      </c>
      <c r="K86" s="5">
        <v>6.8188293079999998</v>
      </c>
    </row>
    <row r="87" spans="1:11" ht="22.5">
      <c r="A87" s="2" t="s">
        <v>105</v>
      </c>
      <c r="B87" s="2" t="s">
        <v>95</v>
      </c>
      <c r="C87" s="5">
        <v>0.19680510500000001</v>
      </c>
      <c r="D87" s="8">
        <v>388</v>
      </c>
      <c r="E87" s="5">
        <v>69.236996649999995</v>
      </c>
      <c r="F87" s="8">
        <v>30119</v>
      </c>
      <c r="G87" s="5">
        <v>962.15945650000003</v>
      </c>
      <c r="H87" s="8">
        <v>572</v>
      </c>
      <c r="I87" s="5">
        <v>0.43079663899999998</v>
      </c>
      <c r="J87" s="5">
        <v>4.2519299779999997</v>
      </c>
      <c r="K87" s="5">
        <v>8.2387339389999994</v>
      </c>
    </row>
    <row r="88" spans="1:11" ht="22.5">
      <c r="A88" s="2" t="s">
        <v>106</v>
      </c>
      <c r="B88" s="2" t="s">
        <v>95</v>
      </c>
      <c r="C88" s="5">
        <v>0.30198225299999998</v>
      </c>
      <c r="D88" s="8">
        <v>1385</v>
      </c>
      <c r="E88" s="5">
        <v>79.873336089999995</v>
      </c>
      <c r="F88" s="8">
        <v>19636</v>
      </c>
      <c r="G88" s="5">
        <v>607.74154120000003</v>
      </c>
      <c r="H88" s="8">
        <v>349</v>
      </c>
      <c r="I88" s="5">
        <v>0.1958965</v>
      </c>
      <c r="J88" s="5">
        <v>8.6089399590000006</v>
      </c>
      <c r="K88" s="5">
        <v>93.032351480000003</v>
      </c>
    </row>
    <row r="89" spans="1:11" ht="22.5">
      <c r="A89" s="2" t="s">
        <v>107</v>
      </c>
      <c r="B89" s="2" t="s">
        <v>95</v>
      </c>
      <c r="C89" s="5">
        <v>0.23772589599999999</v>
      </c>
      <c r="D89" s="8">
        <v>854</v>
      </c>
      <c r="E89" s="5">
        <v>129.17164289999999</v>
      </c>
      <c r="F89" s="8">
        <v>18609</v>
      </c>
      <c r="G89" s="5">
        <v>849.69581129999995</v>
      </c>
      <c r="H89" s="8">
        <v>684</v>
      </c>
      <c r="I89" s="5">
        <v>0.36025589200000002</v>
      </c>
      <c r="J89" s="5">
        <v>9.6795158919999995</v>
      </c>
      <c r="K89" s="5">
        <v>41.628415660000002</v>
      </c>
    </row>
    <row r="90" spans="1:11" ht="22.5">
      <c r="A90" s="2" t="s">
        <v>108</v>
      </c>
      <c r="B90" s="2" t="s">
        <v>12</v>
      </c>
      <c r="C90" s="5">
        <v>0.273596756</v>
      </c>
      <c r="D90" s="8">
        <v>754</v>
      </c>
      <c r="E90" s="5">
        <v>913.26667520000001</v>
      </c>
      <c r="F90" s="8">
        <v>135176</v>
      </c>
      <c r="G90" s="5">
        <v>5328.1447790000002</v>
      </c>
      <c r="H90" s="8">
        <v>1179</v>
      </c>
      <c r="I90" s="5">
        <v>0.63686939200000003</v>
      </c>
      <c r="J90" s="5">
        <v>1.8753356779999999</v>
      </c>
      <c r="K90" s="5">
        <v>15.68262447</v>
      </c>
    </row>
    <row r="91" spans="1:11" ht="22.5">
      <c r="A91" s="2" t="s">
        <v>109</v>
      </c>
      <c r="B91" s="2" t="s">
        <v>12</v>
      </c>
      <c r="C91" s="5">
        <v>0.248380405</v>
      </c>
      <c r="D91" s="8">
        <v>157</v>
      </c>
      <c r="E91" s="5">
        <v>437.83491450000002</v>
      </c>
      <c r="F91" s="8">
        <v>45179</v>
      </c>
      <c r="G91" s="5">
        <v>11509.27274</v>
      </c>
      <c r="H91" s="8">
        <v>540</v>
      </c>
      <c r="I91" s="5">
        <v>0.71412068799999995</v>
      </c>
      <c r="J91" s="5">
        <v>3.9462688180000001</v>
      </c>
      <c r="K91" s="5">
        <v>21.216662169999999</v>
      </c>
    </row>
    <row r="92" spans="1:11" ht="22.5">
      <c r="A92" s="2" t="s">
        <v>110</v>
      </c>
      <c r="B92" s="2" t="s">
        <v>12</v>
      </c>
      <c r="C92" s="5">
        <v>0.38649116999999999</v>
      </c>
      <c r="D92" s="8">
        <v>122</v>
      </c>
      <c r="E92" s="5">
        <v>395.23784799999999</v>
      </c>
      <c r="F92" s="8">
        <v>45426</v>
      </c>
      <c r="G92" s="5">
        <v>16066.279710000001</v>
      </c>
      <c r="H92" s="8">
        <v>459</v>
      </c>
      <c r="I92" s="5">
        <v>0.79062568600000005</v>
      </c>
      <c r="J92" s="5">
        <v>1.6801982019999999</v>
      </c>
      <c r="K92" s="5">
        <v>10.95893135</v>
      </c>
    </row>
    <row r="93" spans="1:11" ht="22.5">
      <c r="A93" s="2" t="s">
        <v>111</v>
      </c>
      <c r="B93" s="2" t="s">
        <v>12</v>
      </c>
      <c r="C93" s="5">
        <v>0.27892424999999998</v>
      </c>
      <c r="D93" s="8">
        <v>525</v>
      </c>
      <c r="E93" s="5">
        <v>830.4473964</v>
      </c>
      <c r="F93" s="8">
        <v>56241</v>
      </c>
      <c r="G93" s="5">
        <v>6788.9319770000002</v>
      </c>
      <c r="H93" s="8">
        <v>1223</v>
      </c>
      <c r="I93" s="5">
        <v>0.71909842000000002</v>
      </c>
      <c r="J93" s="5">
        <v>0.57270760499999995</v>
      </c>
      <c r="K93" s="5">
        <v>15.15187633</v>
      </c>
    </row>
    <row r="94" spans="1:11" ht="22.5">
      <c r="A94" s="2" t="s">
        <v>112</v>
      </c>
      <c r="B94" s="2" t="s">
        <v>12</v>
      </c>
      <c r="C94" s="5">
        <v>0.30068711199999998</v>
      </c>
      <c r="D94" s="8">
        <v>87</v>
      </c>
      <c r="E94" s="5">
        <v>388.08322429999998</v>
      </c>
      <c r="F94" s="8">
        <v>49281</v>
      </c>
      <c r="G94" s="5">
        <v>18246.89964</v>
      </c>
      <c r="H94" s="8">
        <v>288</v>
      </c>
      <c r="I94" s="5">
        <v>0.78742139899999997</v>
      </c>
      <c r="J94" s="5">
        <v>0.29314832499999999</v>
      </c>
      <c r="K94" s="5">
        <v>2.0296804669999999</v>
      </c>
    </row>
    <row r="95" spans="1:11" ht="22.5">
      <c r="A95" s="2" t="s">
        <v>113</v>
      </c>
      <c r="B95" s="2" t="s">
        <v>12</v>
      </c>
      <c r="C95" s="5">
        <v>0.27502327500000001</v>
      </c>
      <c r="D95" s="8">
        <v>1100</v>
      </c>
      <c r="E95" s="5">
        <v>303.08449080000003</v>
      </c>
      <c r="F95" s="8">
        <v>25776</v>
      </c>
      <c r="G95" s="5">
        <v>1402.6125070000001</v>
      </c>
      <c r="H95" s="8">
        <v>604</v>
      </c>
      <c r="I95" s="5">
        <v>0.54370160499999998</v>
      </c>
      <c r="J95" s="5">
        <v>3.0540981409999999</v>
      </c>
      <c r="K95" s="5">
        <v>10.87349992</v>
      </c>
    </row>
    <row r="96" spans="1:11" ht="22.5">
      <c r="A96" s="2" t="s">
        <v>114</v>
      </c>
      <c r="B96" s="2" t="s">
        <v>12</v>
      </c>
      <c r="C96" s="5">
        <v>0.28525952799999998</v>
      </c>
      <c r="D96" s="8">
        <v>99</v>
      </c>
      <c r="E96" s="5">
        <v>540.8554838</v>
      </c>
      <c r="F96" s="8">
        <v>49960</v>
      </c>
      <c r="G96" s="5">
        <v>19494.173889999998</v>
      </c>
      <c r="H96" s="8">
        <v>464</v>
      </c>
      <c r="I96" s="5">
        <v>0.80775766400000004</v>
      </c>
      <c r="J96" s="5">
        <v>0.30367702600000002</v>
      </c>
      <c r="K96" s="5">
        <v>1.5429628710000001</v>
      </c>
    </row>
    <row r="97" spans="1:11" ht="22.5">
      <c r="A97" s="2" t="s">
        <v>115</v>
      </c>
      <c r="B97" s="2" t="s">
        <v>12</v>
      </c>
      <c r="C97" s="5">
        <v>0.25708455200000002</v>
      </c>
      <c r="D97" s="8">
        <v>607</v>
      </c>
      <c r="E97" s="5">
        <v>344.46406880000001</v>
      </c>
      <c r="F97" s="8">
        <v>53669</v>
      </c>
      <c r="G97" s="5">
        <v>2221.116305</v>
      </c>
      <c r="H97" s="8">
        <v>792</v>
      </c>
      <c r="I97" s="5">
        <v>0.61812756999999996</v>
      </c>
      <c r="J97" s="5">
        <v>2.9214438880000002</v>
      </c>
      <c r="K97" s="5">
        <v>24.080448480000001</v>
      </c>
    </row>
    <row r="98" spans="1:11" ht="22.5">
      <c r="A98" s="2" t="s">
        <v>116</v>
      </c>
      <c r="B98" s="2" t="s">
        <v>12</v>
      </c>
      <c r="C98" s="5">
        <v>0.42239218499999998</v>
      </c>
      <c r="D98" s="8">
        <v>138</v>
      </c>
      <c r="E98" s="5">
        <v>297.87384049999997</v>
      </c>
      <c r="F98" s="8">
        <v>62260</v>
      </c>
      <c r="G98" s="5">
        <v>15406.491749999999</v>
      </c>
      <c r="H98" s="8">
        <v>261</v>
      </c>
      <c r="I98" s="5">
        <v>0.801667248</v>
      </c>
      <c r="J98" s="5">
        <v>0.18402796699999999</v>
      </c>
      <c r="K98" s="5">
        <v>2.4997290510000001</v>
      </c>
    </row>
    <row r="99" spans="1:11" ht="22.5">
      <c r="A99" s="2" t="s">
        <v>117</v>
      </c>
      <c r="B99" s="2" t="s">
        <v>12</v>
      </c>
      <c r="C99" s="5">
        <v>0.30395869399999997</v>
      </c>
      <c r="D99" s="8">
        <v>1187</v>
      </c>
      <c r="E99" s="5">
        <v>595.14645210000003</v>
      </c>
      <c r="F99" s="8">
        <v>48005</v>
      </c>
      <c r="G99" s="5">
        <v>2580.6835190000002</v>
      </c>
      <c r="H99" s="8">
        <v>1628</v>
      </c>
      <c r="I99" s="5">
        <v>0.57840194499999997</v>
      </c>
      <c r="J99" s="5">
        <v>1.0843762969999999</v>
      </c>
      <c r="K99" s="5">
        <v>35.835889160000001</v>
      </c>
    </row>
    <row r="100" spans="1:11" ht="22.5">
      <c r="A100" s="2" t="s">
        <v>118</v>
      </c>
      <c r="B100" s="2" t="s">
        <v>12</v>
      </c>
      <c r="C100" s="5">
        <v>0.23906413300000001</v>
      </c>
      <c r="D100" s="8">
        <v>660</v>
      </c>
      <c r="E100" s="5">
        <v>445.89138150000002</v>
      </c>
      <c r="F100" s="8">
        <v>32501</v>
      </c>
      <c r="G100" s="5">
        <v>1920.8520080000001</v>
      </c>
      <c r="H100" s="8">
        <v>1095</v>
      </c>
      <c r="I100" s="5">
        <v>0.55354104599999998</v>
      </c>
      <c r="J100" s="5">
        <v>2.291156188</v>
      </c>
      <c r="K100" s="5">
        <v>12.8841822</v>
      </c>
    </row>
    <row r="101" spans="1:11" ht="22.5">
      <c r="A101" s="2" t="s">
        <v>119</v>
      </c>
      <c r="B101" s="2" t="s">
        <v>12</v>
      </c>
      <c r="C101" s="5">
        <v>0.24697443599999999</v>
      </c>
      <c r="D101" s="8">
        <v>80</v>
      </c>
      <c r="E101" s="5">
        <v>371.86507519999998</v>
      </c>
      <c r="F101" s="8">
        <v>29225</v>
      </c>
      <c r="G101" s="5">
        <v>13703.11721</v>
      </c>
      <c r="H101" s="8">
        <v>276</v>
      </c>
      <c r="I101" s="5">
        <v>0.79426052300000005</v>
      </c>
      <c r="J101" s="5">
        <v>0.18228116999999999</v>
      </c>
      <c r="K101" s="5">
        <v>1.3651828260000001</v>
      </c>
    </row>
    <row r="102" spans="1:11" ht="22.5">
      <c r="A102" s="2" t="s">
        <v>120</v>
      </c>
      <c r="B102" s="2" t="s">
        <v>12</v>
      </c>
      <c r="C102" s="5">
        <v>0.32306336600000002</v>
      </c>
      <c r="D102" s="8">
        <v>133</v>
      </c>
      <c r="E102" s="5">
        <v>615.95398169999999</v>
      </c>
      <c r="F102" s="8">
        <v>72328</v>
      </c>
      <c r="G102" s="5">
        <v>15891.088949999999</v>
      </c>
      <c r="H102" s="8">
        <v>355</v>
      </c>
      <c r="I102" s="5">
        <v>0.77424124599999999</v>
      </c>
      <c r="J102" s="5">
        <v>0.29647476</v>
      </c>
      <c r="K102" s="5">
        <v>4.7081599660000002</v>
      </c>
    </row>
    <row r="103" spans="1:11" ht="22.5">
      <c r="A103" s="2" t="s">
        <v>121</v>
      </c>
      <c r="B103" s="2" t="s">
        <v>12</v>
      </c>
      <c r="C103" s="5">
        <v>0.28426217399999998</v>
      </c>
      <c r="D103" s="8">
        <v>107</v>
      </c>
      <c r="E103" s="5">
        <v>564.88960850000001</v>
      </c>
      <c r="F103" s="8">
        <v>43621</v>
      </c>
      <c r="G103" s="5">
        <v>18388.620630000001</v>
      </c>
      <c r="H103" s="8">
        <v>485</v>
      </c>
      <c r="I103" s="5">
        <v>0.80125959400000002</v>
      </c>
      <c r="J103" s="5">
        <v>0.47257049000000001</v>
      </c>
      <c r="K103" s="5">
        <v>5.1599307950000002</v>
      </c>
    </row>
    <row r="104" spans="1:11" ht="22.5">
      <c r="A104" s="2" t="s">
        <v>122</v>
      </c>
      <c r="B104" s="2" t="s">
        <v>12</v>
      </c>
      <c r="C104" s="5">
        <v>0.31170119200000002</v>
      </c>
      <c r="D104" s="8">
        <v>93</v>
      </c>
      <c r="E104" s="5">
        <v>481.47912120000001</v>
      </c>
      <c r="F104" s="8">
        <v>67808</v>
      </c>
      <c r="G104" s="5">
        <v>25678.386149999998</v>
      </c>
      <c r="H104" s="8">
        <v>376</v>
      </c>
      <c r="I104" s="5">
        <v>0.827916125</v>
      </c>
      <c r="J104" s="5">
        <v>0.14880025799999999</v>
      </c>
      <c r="K104" s="5">
        <v>4.8499944529999999</v>
      </c>
    </row>
    <row r="105" spans="1:11" ht="22.5">
      <c r="A105" s="2" t="s">
        <v>123</v>
      </c>
      <c r="B105" s="2" t="s">
        <v>12</v>
      </c>
      <c r="C105" s="5">
        <v>0.276519562</v>
      </c>
      <c r="D105" s="8">
        <v>475</v>
      </c>
      <c r="E105" s="5">
        <v>799.21856609999998</v>
      </c>
      <c r="F105" s="8">
        <v>73984</v>
      </c>
      <c r="G105" s="5">
        <v>7768.3629840000003</v>
      </c>
      <c r="H105" s="8">
        <v>1329</v>
      </c>
      <c r="I105" s="5">
        <v>0.66790088000000003</v>
      </c>
      <c r="J105" s="5">
        <v>0.91535249699999999</v>
      </c>
      <c r="K105" s="5">
        <v>11.801019220000001</v>
      </c>
    </row>
    <row r="106" spans="1:11" ht="22.5">
      <c r="A106" s="2" t="s">
        <v>124</v>
      </c>
      <c r="B106" s="2" t="s">
        <v>12</v>
      </c>
      <c r="C106" s="5">
        <v>0.30366659400000001</v>
      </c>
      <c r="D106" s="8">
        <v>143</v>
      </c>
      <c r="E106" s="5">
        <v>699.20414119999998</v>
      </c>
      <c r="F106" s="8">
        <v>55337</v>
      </c>
      <c r="G106" s="5">
        <v>17410.88437</v>
      </c>
      <c r="H106" s="8">
        <v>426</v>
      </c>
      <c r="I106" s="5">
        <v>0.78845836400000002</v>
      </c>
      <c r="J106" s="5">
        <v>0.63598024600000003</v>
      </c>
      <c r="K106" s="5">
        <v>2.8298590180000001</v>
      </c>
    </row>
    <row r="107" spans="1:11" ht="22.5">
      <c r="A107" s="2" t="s">
        <v>125</v>
      </c>
      <c r="B107" s="2" t="s">
        <v>12</v>
      </c>
      <c r="C107" s="5">
        <v>0.265914594</v>
      </c>
      <c r="D107" s="8">
        <v>472</v>
      </c>
      <c r="E107" s="5">
        <v>197.02771559999999</v>
      </c>
      <c r="F107" s="8">
        <v>90858</v>
      </c>
      <c r="G107" s="5">
        <v>1536.0121610000001</v>
      </c>
      <c r="H107" s="8">
        <v>1542</v>
      </c>
      <c r="I107" s="5">
        <v>0.69172691600000002</v>
      </c>
      <c r="J107" s="5">
        <v>1.9962231459999999</v>
      </c>
      <c r="K107" s="5">
        <v>30.666745410000001</v>
      </c>
    </row>
    <row r="108" spans="1:11" ht="22.5">
      <c r="A108" s="2" t="s">
        <v>126</v>
      </c>
      <c r="B108" s="2" t="s">
        <v>12</v>
      </c>
      <c r="C108" s="5">
        <v>0.41323379100000002</v>
      </c>
      <c r="D108" s="8">
        <v>370</v>
      </c>
      <c r="E108" s="5">
        <v>600.35710240000003</v>
      </c>
      <c r="F108" s="8">
        <v>48567</v>
      </c>
      <c r="G108" s="5">
        <v>18336.340929999998</v>
      </c>
      <c r="H108" s="8">
        <v>999</v>
      </c>
      <c r="I108" s="5">
        <v>0.719277426</v>
      </c>
      <c r="J108" s="5">
        <v>0.22711384400000001</v>
      </c>
      <c r="K108" s="5">
        <v>7.255437401</v>
      </c>
    </row>
    <row r="109" spans="1:11" ht="22.5">
      <c r="A109" s="2" t="s">
        <v>127</v>
      </c>
      <c r="B109" s="2" t="s">
        <v>12</v>
      </c>
      <c r="C109" s="5">
        <v>0.23565187400000001</v>
      </c>
      <c r="D109" s="8">
        <v>528</v>
      </c>
      <c r="E109" s="5">
        <v>201.6621883</v>
      </c>
      <c r="F109" s="8">
        <v>33434</v>
      </c>
      <c r="G109" s="5">
        <v>1143.896166</v>
      </c>
      <c r="H109" s="8">
        <v>803</v>
      </c>
      <c r="I109" s="5">
        <v>0.70804472799999996</v>
      </c>
      <c r="J109" s="5">
        <v>5.4783043390000001</v>
      </c>
      <c r="K109" s="5">
        <v>31.272702639999999</v>
      </c>
    </row>
    <row r="110" spans="1:11" ht="22.5">
      <c r="A110" s="2" t="s">
        <v>128</v>
      </c>
      <c r="B110" s="2" t="s">
        <v>12</v>
      </c>
      <c r="C110" s="5">
        <v>0.17127929</v>
      </c>
      <c r="D110" s="8">
        <v>422</v>
      </c>
      <c r="E110" s="5">
        <v>472.69115909999999</v>
      </c>
      <c r="F110" s="8">
        <v>32348</v>
      </c>
      <c r="G110" s="5">
        <v>2427.596732</v>
      </c>
      <c r="H110" s="8">
        <v>600</v>
      </c>
      <c r="I110" s="5">
        <v>0.63346264100000005</v>
      </c>
      <c r="J110" s="5">
        <v>2.245477696</v>
      </c>
      <c r="K110" s="5">
        <v>26.67585536</v>
      </c>
    </row>
    <row r="111" spans="1:11" ht="22.5">
      <c r="A111" s="2" t="s">
        <v>129</v>
      </c>
      <c r="B111" s="2" t="s">
        <v>12</v>
      </c>
      <c r="C111" s="5">
        <v>0.230261465</v>
      </c>
      <c r="D111" s="8">
        <v>379</v>
      </c>
      <c r="E111" s="5">
        <v>394.1406053</v>
      </c>
      <c r="F111" s="8">
        <v>45968</v>
      </c>
      <c r="G111" s="5">
        <v>3488.0718200000001</v>
      </c>
      <c r="H111" s="8">
        <v>654</v>
      </c>
      <c r="I111" s="5">
        <v>0.64208331399999996</v>
      </c>
      <c r="J111" s="5">
        <v>1.283412255</v>
      </c>
      <c r="K111" s="5">
        <v>20.4962588</v>
      </c>
    </row>
    <row r="112" spans="1:11" ht="22.5">
      <c r="A112" s="2" t="s">
        <v>130</v>
      </c>
      <c r="B112" s="2" t="s">
        <v>131</v>
      </c>
      <c r="C112" s="5">
        <v>0.44704292000000001</v>
      </c>
      <c r="D112" s="8">
        <v>266</v>
      </c>
      <c r="E112" s="5">
        <v>196.77860039999999</v>
      </c>
      <c r="F112" s="8">
        <v>51627</v>
      </c>
      <c r="G112" s="5">
        <v>30141.67715</v>
      </c>
      <c r="H112" s="8">
        <v>179</v>
      </c>
      <c r="I112" s="5">
        <v>0.856954141</v>
      </c>
      <c r="J112" s="5">
        <v>0.213076829</v>
      </c>
      <c r="K112" s="5">
        <v>1.2829065239999999</v>
      </c>
    </row>
    <row r="113" spans="1:11" ht="22.5">
      <c r="A113" s="2" t="s">
        <v>132</v>
      </c>
      <c r="B113" s="2" t="s">
        <v>131</v>
      </c>
      <c r="C113" s="5">
        <v>0.53028949700000005</v>
      </c>
      <c r="D113" s="8">
        <v>125</v>
      </c>
      <c r="E113" s="5">
        <v>175.785314</v>
      </c>
      <c r="F113" s="8">
        <v>80253</v>
      </c>
      <c r="G113" s="5">
        <v>33459.038589999996</v>
      </c>
      <c r="H113" s="8">
        <v>312</v>
      </c>
      <c r="I113" s="5">
        <v>0.86238150400000002</v>
      </c>
      <c r="J113" s="5">
        <v>0.231209</v>
      </c>
      <c r="K113" s="5">
        <v>2.206019725</v>
      </c>
    </row>
    <row r="114" spans="1:11" ht="22.5">
      <c r="A114" s="2" t="s">
        <v>133</v>
      </c>
      <c r="B114" s="2" t="s">
        <v>131</v>
      </c>
      <c r="C114" s="5">
        <v>0.50246327800000001</v>
      </c>
      <c r="D114" s="8">
        <v>164</v>
      </c>
      <c r="E114" s="5">
        <v>233.48615960000001</v>
      </c>
      <c r="F114" s="8">
        <v>53800</v>
      </c>
      <c r="G114" s="5">
        <v>39877.740010000001</v>
      </c>
      <c r="H114" s="8">
        <v>174</v>
      </c>
      <c r="I114" s="5">
        <v>0.89116761700000002</v>
      </c>
      <c r="J114" s="5">
        <v>0.37719777599999998</v>
      </c>
      <c r="K114" s="5">
        <v>2.2901749499999999</v>
      </c>
    </row>
    <row r="115" spans="1:11" ht="22.5">
      <c r="A115" s="2" t="s">
        <v>134</v>
      </c>
      <c r="B115" s="2" t="s">
        <v>131</v>
      </c>
      <c r="C115" s="5">
        <v>0.52103927900000002</v>
      </c>
      <c r="D115" s="8">
        <v>240</v>
      </c>
      <c r="E115" s="5">
        <v>163.93118150000001</v>
      </c>
      <c r="F115" s="8">
        <v>79846</v>
      </c>
      <c r="G115" s="5">
        <v>20607.312399999999</v>
      </c>
      <c r="H115" s="8">
        <v>464</v>
      </c>
      <c r="I115" s="5">
        <v>0.76673076500000004</v>
      </c>
      <c r="J115" s="5">
        <v>0.210216717</v>
      </c>
      <c r="K115" s="5">
        <v>3.9096785870000001</v>
      </c>
    </row>
    <row r="116" spans="1:11" ht="22.5">
      <c r="A116" s="2" t="s">
        <v>135</v>
      </c>
      <c r="B116" s="2" t="s">
        <v>131</v>
      </c>
      <c r="C116" s="5">
        <v>0.47628884700000002</v>
      </c>
      <c r="D116" s="8">
        <v>135</v>
      </c>
      <c r="E116" s="5">
        <v>216.85414739999999</v>
      </c>
      <c r="F116" s="8">
        <v>56556</v>
      </c>
      <c r="G116" s="5">
        <v>35280.009709999998</v>
      </c>
      <c r="H116" s="8">
        <v>218</v>
      </c>
      <c r="I116" s="5">
        <v>0.86342690499999997</v>
      </c>
      <c r="J116" s="5">
        <v>0.14887204900000001</v>
      </c>
      <c r="K116" s="5">
        <v>2.1602475970000001</v>
      </c>
    </row>
    <row r="117" spans="1:11" ht="22.5">
      <c r="A117" s="2" t="s">
        <v>136</v>
      </c>
      <c r="B117" s="2" t="s">
        <v>131</v>
      </c>
      <c r="C117" s="5">
        <v>0.41452138399999999</v>
      </c>
      <c r="D117" s="8">
        <v>47</v>
      </c>
      <c r="E117" s="5">
        <v>151.157297</v>
      </c>
      <c r="F117" s="8">
        <v>56279</v>
      </c>
      <c r="G117" s="5">
        <v>44656.842929999999</v>
      </c>
      <c r="H117" s="8">
        <v>189</v>
      </c>
      <c r="I117" s="5">
        <v>0.808039964</v>
      </c>
      <c r="J117" s="5">
        <v>0.343187507</v>
      </c>
      <c r="K117" s="5">
        <v>3.635268344</v>
      </c>
    </row>
    <row r="118" spans="1:11" ht="22.5">
      <c r="A118" s="2" t="s">
        <v>137</v>
      </c>
      <c r="B118" s="2" t="s">
        <v>131</v>
      </c>
      <c r="C118" s="5">
        <v>0.45193549999999999</v>
      </c>
      <c r="D118" s="8">
        <v>244</v>
      </c>
      <c r="E118" s="5">
        <v>275.653865</v>
      </c>
      <c r="F118" s="8">
        <v>51352</v>
      </c>
      <c r="G118" s="5">
        <v>32368.443139999999</v>
      </c>
      <c r="H118" s="8">
        <v>193</v>
      </c>
      <c r="I118" s="5">
        <v>0.88835087599999996</v>
      </c>
      <c r="J118" s="5">
        <v>0.11947856499999999</v>
      </c>
      <c r="K118" s="5">
        <v>0.63051649600000004</v>
      </c>
    </row>
    <row r="119" spans="1:11" ht="22.5">
      <c r="A119" s="2" t="s">
        <v>138</v>
      </c>
      <c r="B119" s="2" t="s">
        <v>139</v>
      </c>
      <c r="C119" s="5">
        <v>0.136606487</v>
      </c>
      <c r="D119" s="8">
        <v>880</v>
      </c>
      <c r="E119" s="5">
        <v>140.7524999</v>
      </c>
      <c r="F119" s="8">
        <v>12125</v>
      </c>
      <c r="G119" s="5">
        <v>473.41292609999999</v>
      </c>
      <c r="H119" s="8">
        <v>2014</v>
      </c>
      <c r="I119" s="5">
        <v>0.22667241399999999</v>
      </c>
      <c r="J119" s="5">
        <v>16.61072382</v>
      </c>
      <c r="K119" s="5">
        <v>39.38264015</v>
      </c>
    </row>
    <row r="120" spans="1:11" ht="22.5">
      <c r="A120" s="2" t="s">
        <v>140</v>
      </c>
      <c r="B120" s="2" t="s">
        <v>139</v>
      </c>
      <c r="C120" s="5">
        <v>0.13303004600000001</v>
      </c>
      <c r="D120" s="8">
        <v>262</v>
      </c>
      <c r="E120" s="5">
        <v>128.82972190000001</v>
      </c>
      <c r="F120" s="8">
        <v>10155</v>
      </c>
      <c r="G120" s="5">
        <v>959.30828970000005</v>
      </c>
      <c r="H120" s="8">
        <v>650</v>
      </c>
      <c r="I120" s="5">
        <v>0.272967079</v>
      </c>
      <c r="J120" s="5">
        <v>9.8479708469999991</v>
      </c>
      <c r="K120" s="5">
        <v>4.5336301260000003</v>
      </c>
    </row>
    <row r="121" spans="1:11" ht="22.5">
      <c r="A121" s="2" t="s">
        <v>141</v>
      </c>
      <c r="B121" s="2" t="s">
        <v>139</v>
      </c>
      <c r="C121" s="5">
        <v>0.119230617</v>
      </c>
      <c r="D121" s="8">
        <v>244</v>
      </c>
      <c r="E121" s="5">
        <v>101.8276317</v>
      </c>
      <c r="F121" s="8">
        <v>10251</v>
      </c>
      <c r="G121" s="5">
        <v>698.41766129999996</v>
      </c>
      <c r="H121" s="8">
        <v>545</v>
      </c>
      <c r="I121" s="5">
        <v>0.15485205399999999</v>
      </c>
      <c r="J121" s="5">
        <v>44.567079470000003</v>
      </c>
      <c r="K121" s="5">
        <v>127.2596763</v>
      </c>
    </row>
    <row r="122" spans="1:11" ht="22.5">
      <c r="A122" s="2" t="s">
        <v>142</v>
      </c>
      <c r="B122" s="2" t="s">
        <v>139</v>
      </c>
      <c r="C122" s="5">
        <v>0.21263331199999999</v>
      </c>
      <c r="D122" s="8">
        <v>565</v>
      </c>
      <c r="E122" s="5">
        <v>161.81648290000001</v>
      </c>
      <c r="F122" s="8">
        <v>15846</v>
      </c>
      <c r="G122" s="5">
        <v>1559.8176289999999</v>
      </c>
      <c r="H122" s="8">
        <v>850</v>
      </c>
      <c r="I122" s="5">
        <v>0.42878212100000002</v>
      </c>
      <c r="J122" s="5">
        <v>3.1776243929999999</v>
      </c>
      <c r="K122" s="5">
        <v>5.4324751620000002</v>
      </c>
    </row>
    <row r="123" spans="1:11" ht="22.5">
      <c r="A123" s="2" t="s">
        <v>143</v>
      </c>
      <c r="B123" s="2" t="s">
        <v>139</v>
      </c>
      <c r="C123" s="5">
        <v>0.10737775300000001</v>
      </c>
      <c r="D123" s="8">
        <v>215</v>
      </c>
      <c r="E123" s="5">
        <v>73.095329559999996</v>
      </c>
      <c r="F123" s="8">
        <v>7886</v>
      </c>
      <c r="G123" s="5">
        <v>637.06279110000003</v>
      </c>
      <c r="H123" s="8">
        <v>395</v>
      </c>
      <c r="I123" s="5">
        <v>0.129065769</v>
      </c>
      <c r="J123" s="5">
        <v>29.100678169999998</v>
      </c>
      <c r="K123" s="5">
        <v>20.849981140000001</v>
      </c>
    </row>
    <row r="124" spans="1:11" ht="22.5">
      <c r="A124" s="2" t="s">
        <v>144</v>
      </c>
      <c r="B124" s="2" t="s">
        <v>139</v>
      </c>
      <c r="C124" s="5">
        <v>0.165379945</v>
      </c>
      <c r="D124" s="8">
        <v>226</v>
      </c>
      <c r="E124" s="5">
        <v>69.431495400000003</v>
      </c>
      <c r="F124" s="8">
        <v>10087</v>
      </c>
      <c r="G124" s="5">
        <v>810.80406979999998</v>
      </c>
      <c r="H124" s="8">
        <v>442</v>
      </c>
      <c r="I124" s="5">
        <v>0.21302817299999999</v>
      </c>
      <c r="J124" s="5">
        <v>11.10589182</v>
      </c>
      <c r="K124" s="5">
        <v>148.38948339999999</v>
      </c>
    </row>
    <row r="125" spans="1:11" ht="22.5">
      <c r="A125" s="2" t="s">
        <v>145</v>
      </c>
      <c r="B125" s="2" t="s">
        <v>139</v>
      </c>
      <c r="C125" s="5">
        <v>0.164627573</v>
      </c>
      <c r="D125" s="8">
        <v>756</v>
      </c>
      <c r="E125" s="5">
        <v>207.41712659999999</v>
      </c>
      <c r="F125" s="8">
        <v>8995</v>
      </c>
      <c r="G125" s="5">
        <v>1118.8777009999999</v>
      </c>
      <c r="H125" s="8">
        <v>958</v>
      </c>
      <c r="I125" s="5">
        <v>0.24530568999999999</v>
      </c>
      <c r="J125" s="5">
        <v>0.82655997000000003</v>
      </c>
      <c r="K125" s="5">
        <v>6.8562671560000004</v>
      </c>
    </row>
    <row r="126" spans="1:11" ht="22.5">
      <c r="A126" s="2" t="s">
        <v>146</v>
      </c>
      <c r="B126" s="2" t="s">
        <v>139</v>
      </c>
      <c r="C126" s="5">
        <v>0.11668621799999999</v>
      </c>
      <c r="D126" s="8">
        <v>654</v>
      </c>
      <c r="E126" s="5">
        <v>157.82670229999999</v>
      </c>
      <c r="F126" s="8">
        <v>10910</v>
      </c>
      <c r="G126" s="5">
        <v>702.172685</v>
      </c>
      <c r="H126" s="8">
        <v>990</v>
      </c>
      <c r="I126" s="5">
        <v>0.212234965</v>
      </c>
      <c r="J126" s="5">
        <v>6.1537786199999998</v>
      </c>
      <c r="K126" s="5">
        <v>3.6568473309999998</v>
      </c>
    </row>
    <row r="127" spans="1:11" ht="22.5">
      <c r="A127" s="2" t="s">
        <v>147</v>
      </c>
      <c r="B127" s="2" t="s">
        <v>139</v>
      </c>
      <c r="C127" s="5">
        <v>0.15421572</v>
      </c>
      <c r="D127" s="8">
        <v>368</v>
      </c>
      <c r="E127" s="5">
        <v>70.027021619999999</v>
      </c>
      <c r="F127" s="8">
        <v>6997</v>
      </c>
      <c r="G127" s="5">
        <v>566.79837080000004</v>
      </c>
      <c r="H127" s="8">
        <v>640</v>
      </c>
      <c r="I127" s="5">
        <v>0.19782996799999999</v>
      </c>
      <c r="J127" s="5">
        <v>22.623985730000001</v>
      </c>
      <c r="K127" s="5">
        <v>5.3225743789999997</v>
      </c>
    </row>
    <row r="128" spans="1:11" ht="22.5">
      <c r="A128" s="2" t="s">
        <v>148</v>
      </c>
      <c r="B128" s="2" t="s">
        <v>139</v>
      </c>
      <c r="C128" s="5">
        <v>0.19877254</v>
      </c>
      <c r="D128" s="8">
        <v>126</v>
      </c>
      <c r="E128" s="5">
        <v>127.02598810000001</v>
      </c>
      <c r="F128" s="8">
        <v>13455</v>
      </c>
      <c r="G128" s="5">
        <v>2981.4863099999998</v>
      </c>
      <c r="H128" s="8">
        <v>334</v>
      </c>
      <c r="I128" s="5">
        <v>0.76422732699999996</v>
      </c>
      <c r="J128" s="5">
        <v>1.488861073</v>
      </c>
      <c r="K128" s="5">
        <v>6.6291717180000003</v>
      </c>
    </row>
    <row r="129" spans="1:11" ht="22.5">
      <c r="A129" s="2" t="s">
        <v>149</v>
      </c>
      <c r="B129" s="2" t="s">
        <v>150</v>
      </c>
      <c r="C129" s="5">
        <v>0.44875178100000002</v>
      </c>
      <c r="D129" s="8">
        <v>106</v>
      </c>
      <c r="E129" s="5">
        <v>326.31318069999998</v>
      </c>
      <c r="F129" s="8">
        <v>46767</v>
      </c>
      <c r="G129" s="5">
        <v>36064.716390000001</v>
      </c>
      <c r="H129" s="8">
        <v>483</v>
      </c>
      <c r="I129" s="5">
        <v>0.87112583700000001</v>
      </c>
      <c r="J129" s="5">
        <v>0.182607295</v>
      </c>
      <c r="K129" s="5">
        <v>2.7226161150000001</v>
      </c>
    </row>
    <row r="130" spans="1:11" ht="22.5">
      <c r="A130" s="2" t="s">
        <v>151</v>
      </c>
      <c r="B130" s="2" t="s">
        <v>150</v>
      </c>
      <c r="C130" s="5">
        <v>0.73045825600000003</v>
      </c>
      <c r="D130" s="8">
        <v>87</v>
      </c>
      <c r="E130" s="5">
        <v>201.0208002</v>
      </c>
      <c r="F130" s="8">
        <v>52056</v>
      </c>
      <c r="G130" s="5">
        <v>34675.343999999997</v>
      </c>
      <c r="H130" s="8">
        <v>504</v>
      </c>
      <c r="I130" s="5">
        <v>0.87391280800000004</v>
      </c>
      <c r="J130" s="5">
        <v>0.21832146999999999</v>
      </c>
      <c r="K130" s="5">
        <v>5.1887242389999999</v>
      </c>
    </row>
    <row r="131" spans="1:11" ht="22.5">
      <c r="A131" s="2" t="s">
        <v>152</v>
      </c>
      <c r="B131" s="2" t="s">
        <v>150</v>
      </c>
      <c r="C131" s="5">
        <v>0.62969018899999996</v>
      </c>
      <c r="D131" s="8">
        <v>109</v>
      </c>
      <c r="E131" s="5">
        <v>271.18710900000002</v>
      </c>
      <c r="F131" s="8">
        <v>60867</v>
      </c>
      <c r="G131" s="5">
        <v>31974.46027</v>
      </c>
      <c r="H131" s="8">
        <v>592</v>
      </c>
      <c r="I131" s="5">
        <v>0.78383243800000002</v>
      </c>
      <c r="J131" s="5">
        <v>0.41256357100000002</v>
      </c>
      <c r="K131" s="5">
        <v>4.6372198769999997</v>
      </c>
    </row>
    <row r="132" spans="1:11" ht="22.5">
      <c r="A132" s="2" t="s">
        <v>153</v>
      </c>
      <c r="B132" s="2" t="s">
        <v>150</v>
      </c>
      <c r="C132" s="5">
        <v>0.477582073</v>
      </c>
      <c r="D132" s="8">
        <v>59</v>
      </c>
      <c r="E132" s="5">
        <v>247.7030886</v>
      </c>
      <c r="F132" s="8">
        <v>43390</v>
      </c>
      <c r="G132" s="5">
        <v>32663.514439999999</v>
      </c>
      <c r="H132" s="8">
        <v>1100</v>
      </c>
      <c r="I132" s="5">
        <v>0.81422616999999997</v>
      </c>
      <c r="J132" s="5">
        <v>0.29077156500000001</v>
      </c>
      <c r="K132" s="5">
        <v>9.1330362019999995</v>
      </c>
    </row>
    <row r="133" spans="1:11" ht="22.5">
      <c r="A133" s="2" t="s">
        <v>154</v>
      </c>
      <c r="B133" s="2" t="s">
        <v>150</v>
      </c>
      <c r="C133" s="5">
        <v>0.56261846999999998</v>
      </c>
      <c r="D133" s="8">
        <v>99</v>
      </c>
      <c r="E133" s="5">
        <v>262.4937956</v>
      </c>
      <c r="F133" s="8">
        <v>58072</v>
      </c>
      <c r="G133" s="5">
        <v>34123.48244</v>
      </c>
      <c r="H133" s="8">
        <v>701</v>
      </c>
      <c r="I133" s="5">
        <v>0.86515984999999995</v>
      </c>
      <c r="J133" s="5">
        <v>0.33276512200000002</v>
      </c>
      <c r="K133" s="5">
        <v>5.5616372829999996</v>
      </c>
    </row>
    <row r="134" spans="1:11" ht="22.5">
      <c r="A134" s="2" t="s">
        <v>155</v>
      </c>
      <c r="B134" s="2" t="s">
        <v>150</v>
      </c>
      <c r="C134" s="5">
        <v>0.43809763299999999</v>
      </c>
      <c r="D134" s="8">
        <v>86</v>
      </c>
      <c r="E134" s="5">
        <v>270.80073959999999</v>
      </c>
      <c r="F134" s="8">
        <v>77665</v>
      </c>
      <c r="G134" s="5">
        <v>30681.384890000001</v>
      </c>
      <c r="H134" s="8">
        <v>256</v>
      </c>
      <c r="I134" s="5">
        <v>0.85635194800000003</v>
      </c>
      <c r="J134" s="5">
        <v>0.20305417100000001</v>
      </c>
      <c r="K134" s="5">
        <v>2.8131632419999999</v>
      </c>
    </row>
    <row r="135" spans="1:11" ht="22.5">
      <c r="A135" s="2" t="s">
        <v>156</v>
      </c>
      <c r="B135" s="2" t="s">
        <v>150</v>
      </c>
      <c r="C135" s="5">
        <v>0.40370788200000002</v>
      </c>
      <c r="D135" s="8">
        <v>518</v>
      </c>
      <c r="E135" s="5">
        <v>610.7575928</v>
      </c>
      <c r="F135" s="8">
        <v>45738</v>
      </c>
      <c r="G135" s="5">
        <v>12682.35907</v>
      </c>
      <c r="H135" s="8">
        <v>1061</v>
      </c>
      <c r="I135" s="5">
        <v>0.76533912299999995</v>
      </c>
      <c r="J135" s="5">
        <v>1.4445719109999999</v>
      </c>
      <c r="K135" s="5">
        <v>15.11521211</v>
      </c>
    </row>
    <row r="136" spans="1:11" ht="22.5">
      <c r="A136" s="2" t="s">
        <v>157</v>
      </c>
      <c r="B136" s="2" t="s">
        <v>150</v>
      </c>
      <c r="C136" s="5">
        <v>0.65903309899999996</v>
      </c>
      <c r="D136" s="8">
        <v>53</v>
      </c>
      <c r="E136" s="5">
        <v>205.7095549</v>
      </c>
      <c r="F136" s="8">
        <v>68249</v>
      </c>
      <c r="G136" s="5">
        <v>33926.133609999997</v>
      </c>
      <c r="H136" s="8">
        <v>240</v>
      </c>
      <c r="I136" s="5">
        <v>0.87536752600000001</v>
      </c>
      <c r="J136" s="5">
        <v>0.173611287</v>
      </c>
      <c r="K136" s="5">
        <v>1.431860497</v>
      </c>
    </row>
    <row r="137" spans="1:11" ht="22.5">
      <c r="A137" s="2" t="s">
        <v>158</v>
      </c>
      <c r="B137" s="2" t="s">
        <v>150</v>
      </c>
      <c r="C137" s="5">
        <v>0.27862330800000001</v>
      </c>
      <c r="D137" s="8">
        <v>218</v>
      </c>
      <c r="E137" s="5">
        <v>116.1080558</v>
      </c>
      <c r="F137" s="8">
        <v>47317</v>
      </c>
      <c r="G137" s="5">
        <v>3653.492311</v>
      </c>
      <c r="H137" s="8">
        <v>391</v>
      </c>
      <c r="I137" s="5">
        <v>0.67300040999999999</v>
      </c>
      <c r="J137" s="5">
        <v>1.5181342849999999</v>
      </c>
      <c r="K137" s="5">
        <v>3.2663101000000001</v>
      </c>
    </row>
    <row r="138" spans="1:11" ht="22.5">
      <c r="A138" s="2" t="s">
        <v>159</v>
      </c>
      <c r="B138" s="2" t="s">
        <v>150</v>
      </c>
      <c r="C138" s="5">
        <v>0.47203289100000001</v>
      </c>
      <c r="D138" s="8">
        <v>163</v>
      </c>
      <c r="E138" s="5">
        <v>277.2160829</v>
      </c>
      <c r="F138" s="8">
        <v>94073</v>
      </c>
      <c r="G138" s="5">
        <v>16999.466100000001</v>
      </c>
      <c r="H138" s="8">
        <v>437</v>
      </c>
      <c r="I138" s="5">
        <v>0.81918477199999995</v>
      </c>
      <c r="J138" s="5">
        <v>0.33389595100000002</v>
      </c>
      <c r="K138" s="5">
        <v>3.5066547250000002</v>
      </c>
    </row>
    <row r="139" spans="1:11" ht="22.5">
      <c r="A139" s="2" t="s">
        <v>160</v>
      </c>
      <c r="B139" s="2" t="s">
        <v>161</v>
      </c>
      <c r="C139" s="5">
        <v>0.28335818000000002</v>
      </c>
      <c r="D139" s="8">
        <v>461</v>
      </c>
      <c r="E139" s="5">
        <v>523.88384429999996</v>
      </c>
      <c r="F139" s="8">
        <v>60700</v>
      </c>
      <c r="G139" s="5">
        <v>8324.1581320000005</v>
      </c>
      <c r="H139" s="8">
        <v>847</v>
      </c>
      <c r="I139" s="5">
        <v>0.80253447600000005</v>
      </c>
      <c r="J139" s="5">
        <v>1.554528578</v>
      </c>
      <c r="K139" s="5">
        <v>11.288812979999999</v>
      </c>
    </row>
    <row r="140" spans="1:11" ht="22.5">
      <c r="A140" s="2" t="s">
        <v>162</v>
      </c>
      <c r="B140" s="2" t="s">
        <v>161</v>
      </c>
      <c r="C140" s="5">
        <v>0.23890603699999999</v>
      </c>
      <c r="D140" s="8">
        <v>422</v>
      </c>
      <c r="E140" s="5">
        <v>179.8178882</v>
      </c>
      <c r="F140" s="8">
        <v>41395</v>
      </c>
      <c r="G140" s="5">
        <v>2021.980125</v>
      </c>
      <c r="H140" s="8">
        <v>664</v>
      </c>
      <c r="I140" s="5">
        <v>0.67202998999999997</v>
      </c>
      <c r="J140" s="5">
        <v>1.388324785</v>
      </c>
      <c r="K140" s="5">
        <v>23.749147350000001</v>
      </c>
    </row>
    <row r="141" spans="1:11" ht="22.5">
      <c r="A141" s="2" t="s">
        <v>163</v>
      </c>
      <c r="B141" s="2" t="s">
        <v>161</v>
      </c>
      <c r="C141" s="5">
        <v>0.30419086000000001</v>
      </c>
      <c r="D141" s="8">
        <v>113</v>
      </c>
      <c r="E141" s="5">
        <v>275.13188309999998</v>
      </c>
      <c r="F141" s="8">
        <v>61426</v>
      </c>
      <c r="G141" s="5">
        <v>13932.32396</v>
      </c>
      <c r="H141" s="8">
        <v>364</v>
      </c>
      <c r="I141" s="5">
        <v>0.83746976100000003</v>
      </c>
      <c r="J141" s="5">
        <v>0.59435410200000005</v>
      </c>
      <c r="K141" s="5">
        <v>7.1380593929999998</v>
      </c>
    </row>
    <row r="142" spans="1:11" ht="22.5">
      <c r="A142" s="2" t="s">
        <v>164</v>
      </c>
      <c r="B142" s="2" t="s">
        <v>161</v>
      </c>
      <c r="C142" s="5">
        <v>0.20676286999999999</v>
      </c>
      <c r="D142" s="8">
        <v>589</v>
      </c>
      <c r="E142" s="5">
        <v>206.34576440000001</v>
      </c>
      <c r="F142" s="8">
        <v>38660</v>
      </c>
      <c r="G142" s="5">
        <v>1904.4186950000001</v>
      </c>
      <c r="H142" s="8">
        <v>1000</v>
      </c>
      <c r="I142" s="5">
        <v>0.58123570999999996</v>
      </c>
      <c r="J142" s="5">
        <v>1.0118281309999999</v>
      </c>
      <c r="K142" s="5">
        <v>24.714892169999999</v>
      </c>
    </row>
    <row r="143" spans="1:11" ht="22.5">
      <c r="A143" s="2" t="s">
        <v>165</v>
      </c>
      <c r="B143" s="2" t="s">
        <v>161</v>
      </c>
      <c r="C143" s="5">
        <v>0.32843978000000001</v>
      </c>
      <c r="D143" s="8">
        <v>589</v>
      </c>
      <c r="E143" s="5">
        <v>115.89222289999999</v>
      </c>
      <c r="F143" s="8">
        <v>36754</v>
      </c>
      <c r="G143" s="5">
        <v>1922.931865</v>
      </c>
      <c r="H143" s="8">
        <v>1081</v>
      </c>
      <c r="I143" s="5">
        <v>0.70510461499999999</v>
      </c>
      <c r="J143" s="5">
        <v>0.51809792099999996</v>
      </c>
      <c r="K143" s="5">
        <v>13.937731749999999</v>
      </c>
    </row>
    <row r="144" spans="1:11" ht="22.5">
      <c r="A144" s="2" t="s">
        <v>166</v>
      </c>
      <c r="B144" s="2" t="s">
        <v>161</v>
      </c>
      <c r="C144" s="5">
        <v>0.27397064500000001</v>
      </c>
      <c r="D144" s="8">
        <v>635</v>
      </c>
      <c r="E144" s="5">
        <v>477.82601149999999</v>
      </c>
      <c r="F144" s="8">
        <v>53767</v>
      </c>
      <c r="G144" s="5">
        <v>5262.2181689999998</v>
      </c>
      <c r="H144" s="8">
        <v>1029</v>
      </c>
      <c r="I144" s="5">
        <v>0.75947839299999997</v>
      </c>
      <c r="J144" s="5">
        <v>0.80844231499999997</v>
      </c>
      <c r="K144" s="5">
        <v>8.0999492360000005</v>
      </c>
    </row>
    <row r="145" spans="1:11" ht="22.5">
      <c r="A145" s="2" t="s">
        <v>167</v>
      </c>
      <c r="B145" s="2" t="s">
        <v>161</v>
      </c>
      <c r="C145" s="5">
        <v>0.202716586</v>
      </c>
      <c r="D145" s="8">
        <v>269</v>
      </c>
      <c r="E145" s="5">
        <v>445.02739489999999</v>
      </c>
      <c r="F145" s="8">
        <v>30503</v>
      </c>
      <c r="G145" s="5">
        <v>6110.4022770000001</v>
      </c>
      <c r="H145" s="8">
        <v>1377</v>
      </c>
      <c r="I145" s="5">
        <v>0.72186339700000002</v>
      </c>
      <c r="J145" s="5">
        <v>0.48947794300000003</v>
      </c>
      <c r="K145" s="5">
        <v>6.2753703359999999</v>
      </c>
    </row>
    <row r="146" spans="1:11" ht="22.5">
      <c r="A146" s="2" t="s">
        <v>168</v>
      </c>
      <c r="B146" s="2" t="s">
        <v>161</v>
      </c>
      <c r="C146" s="5">
        <v>0.34647295</v>
      </c>
      <c r="D146" s="8">
        <v>711</v>
      </c>
      <c r="E146" s="5">
        <v>557.48519120000003</v>
      </c>
      <c r="F146" s="8">
        <v>45788</v>
      </c>
      <c r="G146" s="5">
        <v>9263.394241</v>
      </c>
      <c r="H146" s="8">
        <v>1037</v>
      </c>
      <c r="I146" s="5">
        <v>0.75411082299999999</v>
      </c>
      <c r="J146" s="5">
        <v>0.67998340499999999</v>
      </c>
      <c r="K146" s="5">
        <v>10.321834239999999</v>
      </c>
    </row>
    <row r="147" spans="1:11" ht="22.5">
      <c r="A147" s="2" t="s">
        <v>169</v>
      </c>
      <c r="B147" s="2" t="s">
        <v>161</v>
      </c>
      <c r="C147" s="5">
        <v>0.27915799400000002</v>
      </c>
      <c r="D147" s="8">
        <v>241</v>
      </c>
      <c r="E147" s="5">
        <v>277.6187731</v>
      </c>
      <c r="F147" s="8">
        <v>60107</v>
      </c>
      <c r="G147" s="5">
        <v>8008.8777620000001</v>
      </c>
      <c r="H147" s="8">
        <v>507</v>
      </c>
      <c r="I147" s="5">
        <v>0.84369744800000002</v>
      </c>
      <c r="J147" s="5">
        <v>0.67528776199999996</v>
      </c>
      <c r="K147" s="5">
        <v>3.293343949</v>
      </c>
    </row>
    <row r="148" spans="1:11" ht="22.5">
      <c r="A148" s="2" t="s">
        <v>170</v>
      </c>
      <c r="B148" s="2" t="s">
        <v>161</v>
      </c>
      <c r="C148" s="5">
        <v>0.24253322299999999</v>
      </c>
      <c r="D148" s="8">
        <v>633</v>
      </c>
      <c r="E148" s="5">
        <v>270.80973119999999</v>
      </c>
      <c r="F148" s="8">
        <v>34676</v>
      </c>
      <c r="G148" s="5">
        <v>2051.771334</v>
      </c>
      <c r="H148" s="8">
        <v>971</v>
      </c>
      <c r="I148" s="5">
        <v>0.71861486100000005</v>
      </c>
      <c r="J148" s="5">
        <v>0.599290086</v>
      </c>
      <c r="K148" s="5">
        <v>4.3546360030000004</v>
      </c>
    </row>
    <row r="149" spans="1:11" ht="22.5">
      <c r="A149" s="2" t="s">
        <v>171</v>
      </c>
      <c r="B149" s="2" t="s">
        <v>161</v>
      </c>
      <c r="C149" s="5">
        <v>0.19301619</v>
      </c>
      <c r="D149" s="8">
        <v>425</v>
      </c>
      <c r="E149" s="5">
        <v>171.06025779999999</v>
      </c>
      <c r="F149" s="8">
        <v>41311</v>
      </c>
      <c r="G149" s="5">
        <v>1403.2997620000001</v>
      </c>
      <c r="H149" s="8">
        <v>673</v>
      </c>
      <c r="I149" s="5">
        <v>0.45473729899999998</v>
      </c>
      <c r="J149" s="5">
        <v>2.746893783</v>
      </c>
      <c r="K149" s="5">
        <v>11.715490340000001</v>
      </c>
    </row>
    <row r="150" spans="1:11" ht="22.5">
      <c r="A150" s="2" t="s">
        <v>172</v>
      </c>
      <c r="B150" s="2" t="s">
        <v>173</v>
      </c>
      <c r="C150" s="5">
        <v>0.36545001700000002</v>
      </c>
      <c r="D150" s="8">
        <v>51</v>
      </c>
      <c r="E150" s="5">
        <v>229.31544959999999</v>
      </c>
      <c r="F150" s="8">
        <v>39166</v>
      </c>
      <c r="G150" s="5">
        <v>28638.52966</v>
      </c>
      <c r="H150" s="8">
        <v>84</v>
      </c>
      <c r="I150" s="5">
        <v>0.85416601299999995</v>
      </c>
      <c r="J150" s="5">
        <v>0.306127869</v>
      </c>
      <c r="K150" s="5">
        <v>1.0359530990000001</v>
      </c>
    </row>
    <row r="151" spans="1:11" ht="22.5">
      <c r="A151" s="2" t="s">
        <v>174</v>
      </c>
      <c r="B151" s="2" t="s">
        <v>173</v>
      </c>
      <c r="C151" s="5">
        <v>0.50147754099999997</v>
      </c>
      <c r="D151" s="8">
        <v>138</v>
      </c>
      <c r="E151" s="5">
        <v>299.21820300000002</v>
      </c>
      <c r="F151" s="8">
        <v>63530</v>
      </c>
      <c r="G151" s="5">
        <v>29318.39201</v>
      </c>
      <c r="H151" s="8">
        <v>138</v>
      </c>
      <c r="I151" s="5">
        <v>0.87074315599999996</v>
      </c>
      <c r="J151" s="5">
        <v>0.80053764699999996</v>
      </c>
      <c r="K151" s="5">
        <v>4.4116772839999996</v>
      </c>
    </row>
    <row r="152" spans="1:11" ht="22.5">
      <c r="A152" s="2" t="s">
        <v>175</v>
      </c>
      <c r="B152" s="2" t="s">
        <v>173</v>
      </c>
      <c r="C152" s="5">
        <v>0.62447978000000004</v>
      </c>
      <c r="D152" s="8">
        <v>139</v>
      </c>
      <c r="E152" s="5">
        <v>144.1339782</v>
      </c>
      <c r="F152" s="8">
        <v>166022</v>
      </c>
      <c r="G152" s="5">
        <v>21958.736420000001</v>
      </c>
      <c r="H152" s="8">
        <v>227</v>
      </c>
      <c r="I152" s="5">
        <v>0.85972325900000002</v>
      </c>
      <c r="J152" s="5">
        <v>0.18570658200000001</v>
      </c>
      <c r="K152" s="5">
        <v>1.7028721659999999</v>
      </c>
    </row>
    <row r="153" spans="1:11" ht="22.5">
      <c r="A153" s="2" t="s">
        <v>176</v>
      </c>
      <c r="B153" s="2" t="s">
        <v>173</v>
      </c>
      <c r="C153" s="5">
        <v>0.36221704399999999</v>
      </c>
      <c r="D153" s="8">
        <v>234</v>
      </c>
      <c r="E153" s="5">
        <v>318.18566140000001</v>
      </c>
      <c r="F153" s="8">
        <v>68386</v>
      </c>
      <c r="G153" s="5">
        <v>13494.539989999999</v>
      </c>
      <c r="H153" s="8">
        <v>340</v>
      </c>
      <c r="I153" s="5">
        <v>0.88620243899999995</v>
      </c>
      <c r="J153" s="5">
        <v>0.53105732100000003</v>
      </c>
      <c r="K153" s="5">
        <v>7.0446419059999998</v>
      </c>
    </row>
    <row r="154" spans="1:11" ht="22.5">
      <c r="A154" s="2" t="s">
        <v>177</v>
      </c>
      <c r="B154" s="2" t="s">
        <v>173</v>
      </c>
      <c r="C154" s="5">
        <v>0.71255596200000004</v>
      </c>
      <c r="D154" s="8">
        <v>147</v>
      </c>
      <c r="E154" s="5">
        <v>105.60048279999999</v>
      </c>
      <c r="F154" s="8">
        <v>68389</v>
      </c>
      <c r="G154" s="5">
        <v>14542.01958</v>
      </c>
      <c r="H154" s="8">
        <v>350</v>
      </c>
      <c r="I154" s="5">
        <v>0.86581351600000001</v>
      </c>
      <c r="J154" s="5">
        <v>0.222606265</v>
      </c>
      <c r="K154" s="5">
        <v>1.270905231</v>
      </c>
    </row>
    <row r="155" spans="1:11" ht="22.5">
      <c r="A155" s="2" t="s">
        <v>178</v>
      </c>
      <c r="B155" s="2" t="s">
        <v>173</v>
      </c>
      <c r="C155" s="5">
        <v>0.50880878399999996</v>
      </c>
      <c r="D155" s="8">
        <v>90</v>
      </c>
      <c r="E155" s="5">
        <v>221.5788216</v>
      </c>
      <c r="F155" s="8">
        <v>101069</v>
      </c>
      <c r="G155" s="5">
        <v>36565.127769999999</v>
      </c>
      <c r="H155" s="8">
        <v>116</v>
      </c>
      <c r="I155" s="5">
        <v>0.91307867899999995</v>
      </c>
      <c r="J155" s="5">
        <v>0.233110013</v>
      </c>
      <c r="K155" s="5">
        <v>1.086767512</v>
      </c>
    </row>
    <row r="156" spans="1:11" ht="22.5">
      <c r="A156" s="2" t="s">
        <v>179</v>
      </c>
      <c r="B156" s="2" t="s">
        <v>173</v>
      </c>
      <c r="C156" s="5">
        <v>0.30671783800000002</v>
      </c>
      <c r="D156" s="8">
        <v>50</v>
      </c>
      <c r="E156" s="5">
        <v>450.19842349999999</v>
      </c>
      <c r="F156" s="8">
        <v>50091</v>
      </c>
      <c r="G156" s="5">
        <v>36620.328280000002</v>
      </c>
      <c r="H156" s="8">
        <v>165</v>
      </c>
      <c r="I156" s="5">
        <v>0.89248698500000001</v>
      </c>
      <c r="J156" s="5">
        <v>0.54623366299999998</v>
      </c>
      <c r="K156" s="5">
        <v>1.0241392410000001</v>
      </c>
    </row>
    <row r="157" spans="1:11" ht="22.5">
      <c r="A157" s="2" t="s">
        <v>180</v>
      </c>
      <c r="B157" s="2" t="s">
        <v>173</v>
      </c>
      <c r="C157" s="5">
        <v>0.38711994700000002</v>
      </c>
      <c r="D157" s="8">
        <v>347</v>
      </c>
      <c r="E157" s="5">
        <v>423.57290060000003</v>
      </c>
      <c r="F157" s="8">
        <v>32329</v>
      </c>
      <c r="G157" s="5">
        <v>14382.39914</v>
      </c>
      <c r="H157" s="8">
        <v>569</v>
      </c>
      <c r="I157" s="5">
        <v>0.84403434700000002</v>
      </c>
      <c r="J157" s="5">
        <v>0.64403819500000004</v>
      </c>
      <c r="K157" s="5">
        <v>7.4085316060000004</v>
      </c>
    </row>
    <row r="158" spans="1:11" ht="22.5">
      <c r="A158" s="2" t="s">
        <v>181</v>
      </c>
      <c r="B158" s="2" t="s">
        <v>173</v>
      </c>
      <c r="C158" s="5">
        <v>0.59269856200000004</v>
      </c>
      <c r="D158" s="8">
        <v>94</v>
      </c>
      <c r="E158" s="5">
        <v>230.39289099999999</v>
      </c>
      <c r="F158" s="8">
        <v>59955</v>
      </c>
      <c r="G158" s="5">
        <v>39048.36752</v>
      </c>
      <c r="H158" s="8">
        <v>109</v>
      </c>
      <c r="I158" s="5">
        <v>0.91267569800000004</v>
      </c>
      <c r="J158" s="5">
        <v>0.32988484699999998</v>
      </c>
      <c r="K158" s="5">
        <v>1.092879787</v>
      </c>
    </row>
    <row r="159" spans="1:11" ht="22.5">
      <c r="A159" s="2" t="s">
        <v>182</v>
      </c>
      <c r="B159" s="2" t="s">
        <v>183</v>
      </c>
      <c r="C159" s="5">
        <v>0.23595068799999999</v>
      </c>
      <c r="D159" s="8">
        <v>720</v>
      </c>
      <c r="E159" s="5">
        <v>149.50612520000001</v>
      </c>
      <c r="F159" s="8">
        <v>17202</v>
      </c>
      <c r="G159" s="5">
        <v>951.52308870000002</v>
      </c>
      <c r="H159" s="8">
        <v>803</v>
      </c>
      <c r="I159" s="5">
        <v>0.59620630900000005</v>
      </c>
      <c r="J159" s="5">
        <v>1.8059377590000001</v>
      </c>
      <c r="K159" s="5">
        <v>4.5556510640000001</v>
      </c>
    </row>
    <row r="160" spans="1:11" ht="22.5">
      <c r="A160" s="2" t="s">
        <v>184</v>
      </c>
      <c r="B160" s="2" t="s">
        <v>183</v>
      </c>
      <c r="C160" s="5">
        <v>0.22344609000000001</v>
      </c>
      <c r="D160" s="8">
        <v>626</v>
      </c>
      <c r="E160" s="5">
        <v>190.11761619999999</v>
      </c>
      <c r="F160" s="8">
        <v>27482</v>
      </c>
      <c r="G160" s="5">
        <v>1546.878328</v>
      </c>
      <c r="H160" s="8">
        <v>653</v>
      </c>
      <c r="I160" s="5">
        <v>0.33666735800000003</v>
      </c>
      <c r="J160" s="5">
        <v>3.8547024510000001</v>
      </c>
      <c r="K160" s="5">
        <v>24.547831630000001</v>
      </c>
    </row>
    <row r="161" spans="1:11" ht="22.5">
      <c r="A161" s="2" t="s">
        <v>185</v>
      </c>
      <c r="B161" s="2" t="s">
        <v>183</v>
      </c>
      <c r="C161" s="5">
        <v>0.26022857500000002</v>
      </c>
      <c r="D161" s="8">
        <v>708</v>
      </c>
      <c r="E161" s="5">
        <v>211.6180114</v>
      </c>
      <c r="F161" s="8">
        <v>64003</v>
      </c>
      <c r="G161" s="5">
        <v>1651.753273</v>
      </c>
      <c r="H161" s="8">
        <v>898</v>
      </c>
      <c r="I161" s="5">
        <v>0.64650824500000004</v>
      </c>
      <c r="J161" s="5">
        <v>0.58983882499999996</v>
      </c>
      <c r="K161" s="5">
        <v>5.2213518710000004</v>
      </c>
    </row>
    <row r="162" spans="1:11" ht="22.5">
      <c r="A162" s="2" t="s">
        <v>186</v>
      </c>
      <c r="B162" s="2" t="s">
        <v>183</v>
      </c>
      <c r="C162" s="5">
        <v>0.14361695499999999</v>
      </c>
      <c r="D162" s="8">
        <v>1870</v>
      </c>
      <c r="E162" s="5">
        <v>216.842129</v>
      </c>
      <c r="F162" s="8">
        <v>30352</v>
      </c>
      <c r="G162" s="5">
        <v>494.28144270000001</v>
      </c>
      <c r="H162" s="8">
        <v>1520</v>
      </c>
      <c r="I162" s="5">
        <v>0.14037902899999999</v>
      </c>
      <c r="J162" s="5">
        <v>4.4147011090000001</v>
      </c>
      <c r="K162" s="5">
        <v>143.06165590000001</v>
      </c>
    </row>
    <row r="163" spans="1:11" ht="22.5">
      <c r="A163" s="2" t="s">
        <v>187</v>
      </c>
      <c r="B163" s="2" t="s">
        <v>183</v>
      </c>
      <c r="C163" s="5">
        <v>0.165502861</v>
      </c>
      <c r="D163" s="8">
        <v>815</v>
      </c>
      <c r="E163" s="5">
        <v>158.7927119</v>
      </c>
      <c r="F163" s="8">
        <v>15826</v>
      </c>
      <c r="G163" s="5">
        <v>819.73473650000005</v>
      </c>
      <c r="H163" s="8">
        <v>890</v>
      </c>
      <c r="I163" s="5">
        <v>0.34307322099999998</v>
      </c>
      <c r="J163" s="5">
        <v>4.0915297050000001</v>
      </c>
      <c r="K163" s="5">
        <v>47.314873759999998</v>
      </c>
    </row>
    <row r="164" spans="1:11" ht="22.5">
      <c r="A164" s="2" t="s">
        <v>188</v>
      </c>
      <c r="B164" s="2" t="s">
        <v>183</v>
      </c>
      <c r="C164" s="5">
        <v>0.27195750699999999</v>
      </c>
      <c r="D164" s="8">
        <v>400</v>
      </c>
      <c r="E164" s="5">
        <v>172.93380070000001</v>
      </c>
      <c r="F164" s="8">
        <v>23916</v>
      </c>
      <c r="G164" s="5">
        <v>3226.6156980000001</v>
      </c>
      <c r="H164" s="8">
        <v>555</v>
      </c>
      <c r="I164" s="5">
        <v>0.53285154999999995</v>
      </c>
      <c r="J164" s="5">
        <v>2.8791937879999998</v>
      </c>
      <c r="K164" s="5">
        <v>26.045454679999999</v>
      </c>
    </row>
    <row r="165" spans="1:11" ht="22.5">
      <c r="A165" s="2" t="s">
        <v>189</v>
      </c>
      <c r="B165" s="2" t="s">
        <v>183</v>
      </c>
      <c r="C165" s="5">
        <v>0.205131436</v>
      </c>
      <c r="D165" s="8">
        <v>1902</v>
      </c>
      <c r="E165" s="5">
        <v>174.64987210000001</v>
      </c>
      <c r="F165" s="8">
        <v>11101</v>
      </c>
      <c r="G165" s="5">
        <v>569.80374510000001</v>
      </c>
      <c r="H165" s="8">
        <v>1230</v>
      </c>
      <c r="I165" s="5">
        <v>0.14439650800000001</v>
      </c>
      <c r="J165" s="5">
        <v>19.317507719999998</v>
      </c>
      <c r="K165" s="5">
        <v>181.6081926</v>
      </c>
    </row>
    <row r="166" spans="1:11" ht="22.5">
      <c r="A166" s="2" t="s">
        <v>190</v>
      </c>
      <c r="B166" s="2" t="s">
        <v>183</v>
      </c>
      <c r="C166" s="5">
        <v>0.22013100599999999</v>
      </c>
      <c r="D166" s="8">
        <v>465</v>
      </c>
      <c r="E166" s="5">
        <v>143.84638949999999</v>
      </c>
      <c r="F166" s="8">
        <v>38098</v>
      </c>
      <c r="G166" s="5">
        <v>1169.3079459999999</v>
      </c>
      <c r="H166" s="8">
        <v>923</v>
      </c>
      <c r="I166" s="5">
        <v>0.40379593200000002</v>
      </c>
      <c r="J166" s="5">
        <v>3.3225996819999999</v>
      </c>
      <c r="K166" s="5">
        <v>13.673228870000001</v>
      </c>
    </row>
    <row r="167" spans="1:11" ht="22.5">
      <c r="A167" s="2" t="s">
        <v>191</v>
      </c>
      <c r="B167" s="2" t="s">
        <v>183</v>
      </c>
      <c r="C167" s="5">
        <v>0.244436814</v>
      </c>
      <c r="D167" s="8">
        <v>389</v>
      </c>
      <c r="E167" s="5">
        <v>76.454283430000004</v>
      </c>
      <c r="F167" s="8">
        <v>38098</v>
      </c>
      <c r="G167" s="5">
        <v>964.38535639999998</v>
      </c>
      <c r="H167" s="8">
        <v>325</v>
      </c>
      <c r="I167" s="5">
        <v>0.31900021000000001</v>
      </c>
      <c r="J167" s="5">
        <v>4.5820538089999996</v>
      </c>
      <c r="K167" s="5">
        <v>3.4077581970000002</v>
      </c>
    </row>
    <row r="168" spans="1:11" ht="22.5">
      <c r="A168" s="2" t="s">
        <v>192</v>
      </c>
      <c r="B168" s="2" t="s">
        <v>183</v>
      </c>
      <c r="C168" s="5">
        <v>0.158049518</v>
      </c>
      <c r="D168" s="8">
        <v>1883</v>
      </c>
      <c r="E168" s="5">
        <v>203.0739557</v>
      </c>
      <c r="F168" s="8">
        <v>30089</v>
      </c>
      <c r="G168" s="5">
        <v>567.02790270000003</v>
      </c>
      <c r="H168" s="8">
        <v>804</v>
      </c>
      <c r="I168" s="5">
        <v>0.11337425</v>
      </c>
      <c r="J168" s="5">
        <v>29.06321458</v>
      </c>
      <c r="K168" s="5">
        <v>138.154551</v>
      </c>
    </row>
    <row r="169" spans="1:11" ht="22.5">
      <c r="A169" s="2" t="s">
        <v>193</v>
      </c>
      <c r="B169" s="2" t="s">
        <v>183</v>
      </c>
      <c r="C169" s="5">
        <v>0.195425091</v>
      </c>
      <c r="D169" s="8">
        <v>743</v>
      </c>
      <c r="E169" s="5">
        <v>127.4051049</v>
      </c>
      <c r="F169" s="8">
        <v>19287</v>
      </c>
      <c r="G169" s="5">
        <v>557.26970449999999</v>
      </c>
      <c r="H169" s="8">
        <v>835</v>
      </c>
      <c r="I169" s="5">
        <v>0.48427294500000001</v>
      </c>
      <c r="J169" s="5">
        <v>3.5161218339999998</v>
      </c>
      <c r="K169" s="5">
        <v>16.366822890000002</v>
      </c>
    </row>
    <row r="170" spans="1:11" ht="22.5">
      <c r="A170" s="2" t="s">
        <v>194</v>
      </c>
      <c r="B170" s="2" t="s">
        <v>173</v>
      </c>
      <c r="C170" s="5">
        <v>0.59984218199999995</v>
      </c>
      <c r="D170" s="8">
        <v>81</v>
      </c>
      <c r="E170" s="5">
        <v>163.2473401</v>
      </c>
      <c r="F170" s="8">
        <v>75659</v>
      </c>
      <c r="G170" s="5">
        <v>26909.759470000001</v>
      </c>
      <c r="H170" s="8">
        <v>566</v>
      </c>
      <c r="I170" s="5">
        <v>0.85472835800000002</v>
      </c>
      <c r="J170" s="5">
        <v>1.156206595</v>
      </c>
      <c r="K170" s="5">
        <v>10.98854474</v>
      </c>
    </row>
    <row r="171" spans="1:11" ht="22.5">
      <c r="A171" s="2" t="s">
        <v>195</v>
      </c>
      <c r="B171" s="2" t="s">
        <v>173</v>
      </c>
      <c r="C171" s="5">
        <v>0.57774399600000004</v>
      </c>
      <c r="D171" s="8">
        <v>52</v>
      </c>
      <c r="E171" s="5">
        <v>274.97577100000001</v>
      </c>
      <c r="F171" s="8">
        <v>75371</v>
      </c>
      <c r="G171" s="5">
        <v>49530.530100000004</v>
      </c>
      <c r="H171" s="8">
        <v>236</v>
      </c>
      <c r="I171" s="5">
        <v>0.87415142199999996</v>
      </c>
      <c r="J171" s="5">
        <v>6.1877852999999997E-2</v>
      </c>
      <c r="K171" s="5">
        <v>0.49288258699999998</v>
      </c>
    </row>
    <row r="172" spans="1:11" ht="22.5">
      <c r="A172" s="2" t="s">
        <v>196</v>
      </c>
      <c r="B172" s="2" t="s">
        <v>173</v>
      </c>
      <c r="C172" s="5">
        <v>0.445376773</v>
      </c>
      <c r="D172" s="8">
        <v>65</v>
      </c>
      <c r="E172" s="5">
        <v>252.5290747</v>
      </c>
      <c r="F172" s="8">
        <v>76940</v>
      </c>
      <c r="G172" s="5">
        <v>36590.517200000002</v>
      </c>
      <c r="H172" s="8">
        <v>405</v>
      </c>
      <c r="I172" s="5">
        <v>0.88141184500000003</v>
      </c>
      <c r="J172" s="5">
        <v>0.11730286099999999</v>
      </c>
      <c r="K172" s="5">
        <v>0.79263939000000005</v>
      </c>
    </row>
    <row r="173" spans="1:11" ht="22.5">
      <c r="A173" s="2" t="s">
        <v>197</v>
      </c>
      <c r="B173" s="2" t="s">
        <v>173</v>
      </c>
      <c r="C173" s="5">
        <v>0.58090409099999996</v>
      </c>
      <c r="D173" s="8">
        <v>74</v>
      </c>
      <c r="E173" s="5">
        <v>123.1313526</v>
      </c>
      <c r="F173" s="8">
        <v>70195</v>
      </c>
      <c r="G173" s="5">
        <v>30788.315009999998</v>
      </c>
      <c r="H173" s="8">
        <v>311</v>
      </c>
      <c r="I173" s="5">
        <v>0.85761635800000002</v>
      </c>
      <c r="J173" s="5">
        <v>0.52462395299999998</v>
      </c>
      <c r="K173" s="5">
        <v>4.8002438209999996</v>
      </c>
    </row>
    <row r="174" spans="1:11" ht="22.5">
      <c r="A174" s="2" t="s">
        <v>198</v>
      </c>
      <c r="B174" s="2" t="s">
        <v>173</v>
      </c>
      <c r="C174" s="5">
        <v>0.51476878400000003</v>
      </c>
      <c r="D174" s="8">
        <v>61</v>
      </c>
      <c r="E174" s="5">
        <v>133.84965009999999</v>
      </c>
      <c r="F174" s="8">
        <v>75498</v>
      </c>
      <c r="G174" s="5">
        <v>22803.095890000001</v>
      </c>
      <c r="H174" s="8">
        <v>517</v>
      </c>
      <c r="I174" s="5">
        <v>0.87916011199999999</v>
      </c>
      <c r="J174" s="5">
        <v>0.12688816</v>
      </c>
      <c r="K174" s="5">
        <v>1.104610106</v>
      </c>
    </row>
    <row r="175" spans="1:11" ht="22.5">
      <c r="A175" s="2" t="s">
        <v>199</v>
      </c>
      <c r="B175" s="2" t="s">
        <v>23</v>
      </c>
      <c r="C175" s="5">
        <v>0.43783509700000001</v>
      </c>
      <c r="D175" s="8">
        <v>112</v>
      </c>
      <c r="E175" s="5">
        <v>423.20324210000001</v>
      </c>
      <c r="F175" s="8">
        <v>48096</v>
      </c>
      <c r="G175" s="5">
        <v>31325.12167</v>
      </c>
      <c r="H175" s="8">
        <v>249</v>
      </c>
      <c r="I175" s="5">
        <v>0.78057166099999997</v>
      </c>
      <c r="J175" s="5">
        <v>0.16809305899999999</v>
      </c>
      <c r="K175" s="5">
        <v>2.2219316930000002</v>
      </c>
    </row>
    <row r="176" spans="1:11" ht="22.5">
      <c r="A176" s="2" t="s">
        <v>200</v>
      </c>
      <c r="B176" s="2" t="s">
        <v>23</v>
      </c>
      <c r="C176" s="5">
        <v>0.65707162500000005</v>
      </c>
      <c r="D176" s="8">
        <v>247</v>
      </c>
      <c r="E176" s="5">
        <v>347.80425639999999</v>
      </c>
      <c r="F176" s="8">
        <v>49634</v>
      </c>
      <c r="G176" s="5">
        <v>30696.50663</v>
      </c>
      <c r="H176" s="8">
        <v>1099</v>
      </c>
      <c r="I176" s="5">
        <v>0.771389871</v>
      </c>
      <c r="J176" s="5">
        <v>0.93143621899999995</v>
      </c>
      <c r="K176" s="5">
        <v>14.861282810000001</v>
      </c>
    </row>
    <row r="177" spans="1:11" ht="22.5">
      <c r="A177" s="2" t="s">
        <v>201</v>
      </c>
      <c r="B177" s="2" t="s">
        <v>23</v>
      </c>
      <c r="C177" s="5">
        <v>0.63999352099999995</v>
      </c>
      <c r="D177" s="8">
        <v>206</v>
      </c>
      <c r="E177" s="5">
        <v>304.9928476</v>
      </c>
      <c r="F177" s="8">
        <v>119280</v>
      </c>
      <c r="G177" s="5">
        <v>29476.563900000001</v>
      </c>
      <c r="H177" s="8">
        <v>761</v>
      </c>
      <c r="I177" s="5">
        <v>0.74237813900000005</v>
      </c>
      <c r="J177" s="5">
        <v>0.31804352000000002</v>
      </c>
      <c r="K177" s="5">
        <v>5.2937525059999997</v>
      </c>
    </row>
    <row r="178" spans="1:11" ht="22.5">
      <c r="A178" s="2" t="s">
        <v>202</v>
      </c>
      <c r="B178" s="2" t="s">
        <v>23</v>
      </c>
      <c r="C178" s="5">
        <v>0.61087398100000001</v>
      </c>
      <c r="D178" s="8">
        <v>168</v>
      </c>
      <c r="E178" s="5">
        <v>315.4201152</v>
      </c>
      <c r="F178" s="8">
        <v>90241</v>
      </c>
      <c r="G178" s="5">
        <v>25401.271919999999</v>
      </c>
      <c r="H178" s="8">
        <v>219</v>
      </c>
      <c r="I178" s="5">
        <v>0.685342852</v>
      </c>
      <c r="J178" s="5">
        <v>0.18653773200000001</v>
      </c>
      <c r="K178" s="5">
        <v>2.5182633320000001</v>
      </c>
    </row>
    <row r="179" spans="1:11" ht="22.5">
      <c r="A179" s="2" t="s">
        <v>203</v>
      </c>
      <c r="B179" s="2" t="s">
        <v>23</v>
      </c>
      <c r="C179" s="5">
        <v>0.68098198899999995</v>
      </c>
      <c r="D179" s="8">
        <v>124</v>
      </c>
      <c r="E179" s="5">
        <v>333.41235610000001</v>
      </c>
      <c r="F179" s="8">
        <v>94902</v>
      </c>
      <c r="G179" s="5">
        <v>58131.202559999998</v>
      </c>
      <c r="H179" s="8">
        <v>178</v>
      </c>
      <c r="I179" s="5">
        <v>0.92154696800000002</v>
      </c>
      <c r="J179" s="5">
        <v>0.14956794900000001</v>
      </c>
      <c r="K179" s="5">
        <v>1.1814975299999999</v>
      </c>
    </row>
    <row r="180" spans="1:11" ht="22.5">
      <c r="A180" s="2" t="s">
        <v>204</v>
      </c>
      <c r="B180" s="2" t="s">
        <v>23</v>
      </c>
      <c r="C180" s="5">
        <v>0.72864417400000003</v>
      </c>
      <c r="D180" s="8">
        <v>85</v>
      </c>
      <c r="E180" s="5">
        <v>254.50291999999999</v>
      </c>
      <c r="F180" s="8">
        <v>83861</v>
      </c>
      <c r="G180" s="5">
        <v>44958.887710000003</v>
      </c>
      <c r="H180" s="8">
        <v>259</v>
      </c>
      <c r="I180" s="5">
        <v>0.88356575199999998</v>
      </c>
      <c r="J180" s="5">
        <v>0.32298600799999999</v>
      </c>
      <c r="K180" s="5">
        <v>4.6274789109999999</v>
      </c>
    </row>
    <row r="181" spans="1:11" ht="22.5">
      <c r="A181" s="2" t="s">
        <v>205</v>
      </c>
      <c r="B181" s="2" t="s">
        <v>39</v>
      </c>
      <c r="C181" s="5">
        <v>0.209350604</v>
      </c>
      <c r="D181" s="8">
        <v>597</v>
      </c>
      <c r="E181" s="5">
        <v>247.95520640000001</v>
      </c>
      <c r="F181" s="8">
        <v>27271</v>
      </c>
      <c r="G181" s="5">
        <v>1879.1787300000001</v>
      </c>
      <c r="H181" s="8">
        <v>1019</v>
      </c>
      <c r="I181" s="5">
        <v>0.49302106499999998</v>
      </c>
      <c r="J181" s="5">
        <v>1.7242786400000001</v>
      </c>
      <c r="K181" s="5">
        <v>12.1957583</v>
      </c>
    </row>
    <row r="182" spans="1:11" ht="22.5">
      <c r="A182" s="2" t="s">
        <v>206</v>
      </c>
      <c r="B182" s="2" t="s">
        <v>39</v>
      </c>
      <c r="C182" s="5">
        <v>0.25115653399999999</v>
      </c>
      <c r="D182" s="8">
        <v>568</v>
      </c>
      <c r="E182" s="5">
        <v>125.3764127</v>
      </c>
      <c r="F182" s="8">
        <v>22469</v>
      </c>
      <c r="G182" s="5">
        <v>1435.003948</v>
      </c>
      <c r="H182" s="8">
        <v>461</v>
      </c>
      <c r="I182" s="5">
        <v>0.36478857599999998</v>
      </c>
      <c r="J182" s="5">
        <v>1.8408709240000001</v>
      </c>
      <c r="K182" s="5">
        <v>4.1698010759999997</v>
      </c>
    </row>
    <row r="183" spans="1:11" ht="22.5">
      <c r="A183" s="2" t="s">
        <v>207</v>
      </c>
      <c r="B183" s="2" t="s">
        <v>161</v>
      </c>
      <c r="C183" s="5">
        <v>0.211723461</v>
      </c>
      <c r="D183" s="8">
        <v>1350</v>
      </c>
      <c r="E183" s="5">
        <v>430.20049369999998</v>
      </c>
      <c r="F183" s="8">
        <v>14000</v>
      </c>
      <c r="G183" s="5">
        <v>1733.3341680000001</v>
      </c>
      <c r="H183" s="8">
        <v>1442</v>
      </c>
      <c r="I183" s="5">
        <v>0.430048502</v>
      </c>
      <c r="J183" s="5">
        <v>2.7961042009999999</v>
      </c>
      <c r="K183" s="5">
        <v>39.271048530000002</v>
      </c>
    </row>
    <row r="184" spans="1:11" ht="22.5">
      <c r="A184" s="2" t="s">
        <v>208</v>
      </c>
      <c r="B184" s="2" t="s">
        <v>161</v>
      </c>
      <c r="C184" s="5">
        <v>0.217541016</v>
      </c>
      <c r="D184" s="8">
        <v>475</v>
      </c>
      <c r="E184" s="5">
        <v>188.15054369999999</v>
      </c>
      <c r="F184" s="8">
        <v>31850</v>
      </c>
      <c r="G184" s="5">
        <v>2589.2259159999999</v>
      </c>
      <c r="H184" s="8">
        <v>969</v>
      </c>
      <c r="I184" s="5">
        <v>0.54622880699999998</v>
      </c>
      <c r="J184" s="5">
        <v>1.1108170420000001</v>
      </c>
      <c r="K184" s="5">
        <v>47.53628604</v>
      </c>
    </row>
    <row r="185" spans="1:11" ht="22.5">
      <c r="A185" s="2" t="s">
        <v>209</v>
      </c>
      <c r="B185" s="2" t="s">
        <v>95</v>
      </c>
      <c r="C185" s="5">
        <v>0.245046916</v>
      </c>
      <c r="D185" s="8">
        <v>302</v>
      </c>
      <c r="E185" s="5">
        <v>128.32678319999999</v>
      </c>
      <c r="F185" s="8">
        <v>38370</v>
      </c>
      <c r="G185" s="5">
        <v>1733.6728009999999</v>
      </c>
      <c r="H185" s="8">
        <v>552</v>
      </c>
      <c r="I185" s="5">
        <v>0.65362055699999999</v>
      </c>
      <c r="J185" s="5">
        <v>2.110071214</v>
      </c>
      <c r="K185" s="5">
        <v>16.680236709999999</v>
      </c>
    </row>
    <row r="186" spans="1:11" ht="22.5">
      <c r="A186" s="2" t="s">
        <v>210</v>
      </c>
      <c r="B186" s="2" t="s">
        <v>95</v>
      </c>
      <c r="C186" s="5">
        <v>0.26412704599999998</v>
      </c>
      <c r="D186" s="8">
        <v>93</v>
      </c>
      <c r="E186" s="5">
        <v>100.4315897</v>
      </c>
      <c r="F186" s="8">
        <v>21400</v>
      </c>
      <c r="G186" s="5">
        <v>5310.8149839999996</v>
      </c>
      <c r="H186" s="8">
        <v>373</v>
      </c>
      <c r="I186" s="5">
        <v>0.80050201600000004</v>
      </c>
      <c r="J186" s="5">
        <v>0.32648937300000003</v>
      </c>
      <c r="K186" s="5">
        <v>3.266044612</v>
      </c>
    </row>
    <row r="187" spans="1:11" ht="22.5">
      <c r="A187" s="2" t="s">
        <v>211</v>
      </c>
      <c r="B187" s="2" t="s">
        <v>95</v>
      </c>
      <c r="C187" s="5">
        <v>0.28997542599999998</v>
      </c>
      <c r="D187" s="8">
        <v>404</v>
      </c>
      <c r="E187" s="5">
        <v>201.1359061</v>
      </c>
      <c r="F187" s="8">
        <v>32542</v>
      </c>
      <c r="G187" s="5">
        <v>4294.0024960000001</v>
      </c>
      <c r="H187" s="8">
        <v>758</v>
      </c>
      <c r="I187" s="5">
        <v>0.61609601000000003</v>
      </c>
      <c r="J187" s="5">
        <v>1.0151768720000001</v>
      </c>
      <c r="K187" s="5">
        <v>25.73605319</v>
      </c>
    </row>
    <row r="188" spans="1:11" ht="22.5">
      <c r="A188" s="2" t="s">
        <v>212</v>
      </c>
      <c r="B188" s="2" t="s">
        <v>95</v>
      </c>
      <c r="C188" s="5">
        <v>0.18409618899999999</v>
      </c>
      <c r="D188" s="8">
        <v>238</v>
      </c>
      <c r="E188" s="5">
        <v>165.2189918</v>
      </c>
      <c r="F188" s="8">
        <v>24178</v>
      </c>
      <c r="G188" s="5">
        <v>3070.5380180000002</v>
      </c>
      <c r="H188" s="8">
        <v>497</v>
      </c>
      <c r="I188" s="5">
        <v>0.39818819</v>
      </c>
      <c r="J188" s="5">
        <v>3.1492719400000002</v>
      </c>
      <c r="K188" s="5">
        <v>73.401978779999993</v>
      </c>
    </row>
    <row r="189" spans="1:11" ht="22.5">
      <c r="A189" s="2" t="s">
        <v>213</v>
      </c>
      <c r="B189" s="2" t="s">
        <v>12</v>
      </c>
      <c r="C189" s="5">
        <v>0.21155503000000001</v>
      </c>
      <c r="D189" s="8">
        <v>1409</v>
      </c>
      <c r="E189" s="5">
        <v>867.80876130000001</v>
      </c>
      <c r="F189" s="8">
        <v>36113</v>
      </c>
      <c r="G189" s="5">
        <v>1819.3527059999999</v>
      </c>
      <c r="H189" s="8">
        <v>2702</v>
      </c>
      <c r="I189" s="5">
        <v>0.43340019800000001</v>
      </c>
      <c r="J189" s="5">
        <v>5.1517570460000002</v>
      </c>
      <c r="K189" s="5">
        <v>32.996589329999999</v>
      </c>
    </row>
    <row r="190" spans="1:11" ht="22.5">
      <c r="A190" s="2" t="s">
        <v>214</v>
      </c>
      <c r="B190" s="2" t="s">
        <v>12</v>
      </c>
      <c r="C190" s="5">
        <v>0.16881728700000001</v>
      </c>
      <c r="D190" s="8">
        <v>1602</v>
      </c>
      <c r="E190" s="5">
        <v>711.29385200000002</v>
      </c>
      <c r="F190" s="8">
        <v>24981</v>
      </c>
      <c r="G190" s="5">
        <v>920.47186079999994</v>
      </c>
      <c r="H190" s="8">
        <v>1958</v>
      </c>
      <c r="I190" s="5">
        <v>0.39700600800000002</v>
      </c>
      <c r="J190" s="5">
        <v>3.1991267400000001</v>
      </c>
      <c r="K190" s="5">
        <v>15.12498609</v>
      </c>
    </row>
    <row r="191" spans="1:11" ht="22.5">
      <c r="A191" s="2" t="s">
        <v>215</v>
      </c>
      <c r="B191" s="2" t="s">
        <v>12</v>
      </c>
      <c r="C191" s="5">
        <v>0.151603143</v>
      </c>
      <c r="D191" s="8">
        <v>366</v>
      </c>
      <c r="E191" s="5">
        <v>167.34704970000001</v>
      </c>
      <c r="F191" s="8">
        <v>12630</v>
      </c>
      <c r="G191" s="5">
        <v>508.40320050000003</v>
      </c>
      <c r="H191" s="8">
        <v>268</v>
      </c>
      <c r="I191" s="5">
        <v>0.21148635499999999</v>
      </c>
      <c r="J191" s="5">
        <v>19.394452269999999</v>
      </c>
      <c r="K191" s="5">
        <v>43.8258115</v>
      </c>
    </row>
    <row r="192" spans="1:11" ht="22.5">
      <c r="A192" s="2" t="s">
        <v>216</v>
      </c>
      <c r="B192" s="2" t="s">
        <v>12</v>
      </c>
      <c r="C192" s="5">
        <v>0.24505955099999999</v>
      </c>
      <c r="D192" s="8">
        <v>1095</v>
      </c>
      <c r="E192" s="5">
        <v>294.22638519999998</v>
      </c>
      <c r="F192" s="8">
        <v>13852</v>
      </c>
      <c r="G192" s="5">
        <v>984.80723820000003</v>
      </c>
      <c r="H192" s="8">
        <v>860</v>
      </c>
      <c r="I192" s="5">
        <v>0.344297666</v>
      </c>
      <c r="J192" s="5">
        <v>1.207103185</v>
      </c>
      <c r="K192" s="5">
        <v>2.423096165</v>
      </c>
    </row>
    <row r="193" spans="1:11" ht="22.5">
      <c r="A193" s="2" t="s">
        <v>217</v>
      </c>
      <c r="B193" s="2" t="s">
        <v>73</v>
      </c>
      <c r="C193" s="5">
        <v>0.31705959299999997</v>
      </c>
      <c r="D193" s="8">
        <v>165</v>
      </c>
      <c r="E193" s="5">
        <v>165.90612659999999</v>
      </c>
      <c r="F193" s="8">
        <v>56448</v>
      </c>
      <c r="G193" s="5">
        <v>20673.585159999999</v>
      </c>
      <c r="H193" s="8">
        <v>486</v>
      </c>
      <c r="I193" s="5">
        <v>0.86978285499999997</v>
      </c>
      <c r="J193" s="5">
        <v>0.47837887000000001</v>
      </c>
      <c r="K193" s="5">
        <v>2.8031039569999998</v>
      </c>
    </row>
    <row r="194" spans="1:11" ht="22.5">
      <c r="A194" s="2" t="s">
        <v>218</v>
      </c>
      <c r="B194" s="2" t="s">
        <v>73</v>
      </c>
      <c r="C194" s="5">
        <v>0.35867725900000003</v>
      </c>
      <c r="D194" s="8">
        <v>61</v>
      </c>
      <c r="E194" s="5">
        <v>176.71480389999999</v>
      </c>
      <c r="F194" s="8">
        <v>66348</v>
      </c>
      <c r="G194" s="5">
        <v>52456.388370000001</v>
      </c>
      <c r="H194" s="8">
        <v>135</v>
      </c>
      <c r="I194" s="5">
        <v>0.81171443300000001</v>
      </c>
      <c r="J194" s="5">
        <v>0.275813904</v>
      </c>
      <c r="K194" s="5">
        <v>1.4164618229999999</v>
      </c>
    </row>
    <row r="195" spans="1:11" ht="22.5">
      <c r="A195" s="2" t="s">
        <v>219</v>
      </c>
      <c r="B195" s="2" t="s">
        <v>131</v>
      </c>
      <c r="C195" s="5">
        <v>0.57035280700000002</v>
      </c>
      <c r="D195" s="8">
        <v>101</v>
      </c>
      <c r="E195" s="5">
        <v>110.8834351</v>
      </c>
      <c r="F195" s="8">
        <v>63949</v>
      </c>
      <c r="G195" s="5">
        <v>31244.214</v>
      </c>
      <c r="H195" s="8">
        <v>191</v>
      </c>
      <c r="I195" s="5">
        <v>0.89487920300000001</v>
      </c>
      <c r="J195" s="5">
        <v>0.17428069299999999</v>
      </c>
      <c r="K195" s="5">
        <v>1.7018443919999999</v>
      </c>
    </row>
    <row r="196" spans="1:11" ht="22.5">
      <c r="A196" s="2" t="s">
        <v>220</v>
      </c>
      <c r="B196" s="2" t="s">
        <v>39</v>
      </c>
      <c r="C196" s="5">
        <v>0.20238669300000001</v>
      </c>
      <c r="D196" s="8">
        <v>205</v>
      </c>
      <c r="E196" s="5">
        <v>74.499883190000006</v>
      </c>
      <c r="F196" s="8">
        <v>22264</v>
      </c>
      <c r="G196" s="5">
        <v>1215.750319</v>
      </c>
      <c r="H196" s="8">
        <v>432</v>
      </c>
      <c r="I196" s="5">
        <v>0.59826762600000005</v>
      </c>
      <c r="J196" s="5">
        <v>1.0307023529999999</v>
      </c>
      <c r="K196" s="5">
        <v>2.3927565909999999</v>
      </c>
    </row>
    <row r="197" spans="1:11" ht="22.5">
      <c r="A197" s="2" t="s">
        <v>221</v>
      </c>
      <c r="B197" s="2" t="s">
        <v>39</v>
      </c>
      <c r="C197" s="5">
        <v>0.189010134</v>
      </c>
      <c r="D197" s="8">
        <v>228</v>
      </c>
      <c r="E197" s="5">
        <v>60.399647819999998</v>
      </c>
      <c r="F197" s="8">
        <v>18403</v>
      </c>
      <c r="G197" s="5">
        <v>1069.669805</v>
      </c>
      <c r="H197" s="8">
        <v>333</v>
      </c>
      <c r="I197" s="5">
        <v>0.37667094499999998</v>
      </c>
      <c r="J197" s="5">
        <v>3.8929664640000001</v>
      </c>
      <c r="K197" s="5">
        <v>13.647984490000001</v>
      </c>
    </row>
    <row r="198" spans="1:11" ht="22.5">
      <c r="A198" s="2" t="s">
        <v>222</v>
      </c>
      <c r="B198" s="2" t="s">
        <v>39</v>
      </c>
      <c r="C198" s="5">
        <v>0.22651515899999999</v>
      </c>
      <c r="D198" s="8">
        <v>1144</v>
      </c>
      <c r="E198" s="5">
        <v>184.33298490000001</v>
      </c>
      <c r="F198" s="8">
        <v>16523</v>
      </c>
      <c r="G198" s="5">
        <v>870.48096459999999</v>
      </c>
      <c r="H198" s="8">
        <v>653</v>
      </c>
      <c r="I198" s="5">
        <v>0.31946204099999997</v>
      </c>
      <c r="J198" s="5">
        <v>3.558421542</v>
      </c>
      <c r="K198" s="5">
        <v>104.9486038</v>
      </c>
    </row>
    <row r="199" spans="1:11" ht="22.5">
      <c r="A199" s="2" t="s">
        <v>223</v>
      </c>
      <c r="B199" s="2" t="s">
        <v>39</v>
      </c>
      <c r="C199" s="5">
        <v>0.227026333</v>
      </c>
      <c r="D199" s="8">
        <v>612</v>
      </c>
      <c r="E199" s="5">
        <v>84.362375159999999</v>
      </c>
      <c r="F199" s="8">
        <v>10875</v>
      </c>
      <c r="G199" s="5">
        <v>751.33901730000002</v>
      </c>
      <c r="H199" s="8">
        <v>159</v>
      </c>
      <c r="I199" s="5">
        <v>0.288945006</v>
      </c>
      <c r="J199" s="5">
        <v>3.6279836759999999</v>
      </c>
      <c r="K199" s="5">
        <v>6.6283016720000001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data02</vt:lpstr>
      <vt:lpstr>road1</vt:lpstr>
      <vt:lpstr>pop</vt:lpstr>
      <vt:lpstr>access</vt:lpstr>
      <vt:lpstr>ln_access</vt:lpstr>
      <vt:lpstr>compare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2026-04-02T14:38:19Z</dcterms:created>
  <dcterms:modified xsi:type="dcterms:W3CDTF">2026-04-11T18:10:42Z</dcterms:modified>
</cp:coreProperties>
</file>